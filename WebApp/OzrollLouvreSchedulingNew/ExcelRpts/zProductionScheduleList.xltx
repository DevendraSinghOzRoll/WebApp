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/>
  <workbookPr/>
  <bookViews>
    <workbookView xWindow="3150" yWindow="-210" windowWidth="19320" windowHeight="12090" tabRatio="497"/>
  </bookViews>
  <sheets>
    <sheet name="ProductionSchedule" sheetId="71" r:id="rId1"/>
  </sheets>
  <definedNames>
    <definedName name="_xlnm._FilterDatabase" localSheetId="0" hidden="1">ProductionSchedule!$A$6:$DX$55</definedName>
    <definedName name="_xlnm.Print_Area" localSheetId="0">ProductionSchedule!$A$1:$F$52</definedName>
    <definedName name="_xlnm.Print_Titles" localSheetId="0">ProductionSchedule!$6:$6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5" i="71"/>
  <c r="R5"/>
  <c r="Q5"/>
  <c r="P5"/>
  <c r="O5"/>
  <c r="N5"/>
  <c r="M5"/>
  <c r="L5"/>
  <c r="K5"/>
  <c r="I5"/>
  <c r="R3"/>
  <c r="Q3"/>
  <c r="P3"/>
  <c r="O3"/>
  <c r="N3"/>
  <c r="M3"/>
  <c r="L3"/>
  <c r="K3"/>
  <c r="R1"/>
  <c r="Q1"/>
  <c r="P1"/>
  <c r="O1"/>
  <c r="N1"/>
  <c r="M1"/>
  <c r="L1"/>
  <c r="K1"/>
  <c r="J1" l="1"/>
  <c r="J3"/>
  <c r="L4"/>
  <c r="J5"/>
  <c r="P4" s="1"/>
  <c r="M4" l="1"/>
  <c r="K4"/>
  <c r="O4"/>
  <c r="N4"/>
  <c r="R4"/>
  <c r="Q4"/>
</calcChain>
</file>

<file path=xl/comments1.xml><?xml version="1.0" encoding="utf-8"?>
<comments xmlns="http://schemas.openxmlformats.org/spreadsheetml/2006/main">
  <authors>
    <author>George O'Brien</author>
    <author>Plantation</author>
  </authors>
  <commentList>
    <comment ref="K6" authorId="0">
      <text>
        <r>
          <rPr>
            <b/>
            <sz val="8"/>
            <color indexed="81"/>
            <rFont val="Tahoma"/>
            <family val="2"/>
          </rPr>
          <t>George O'Brien:</t>
        </r>
        <r>
          <rPr>
            <sz val="8"/>
            <color indexed="81"/>
            <rFont val="Tahoma"/>
            <family val="2"/>
          </rPr>
          <t xml:space="preserve">
Divide the item width by the number of panels for the single opening
</t>
        </r>
      </text>
    </comment>
    <comment ref="W6" authorId="1">
      <text>
        <r>
          <rPr>
            <b/>
            <sz val="9"/>
            <color indexed="81"/>
            <rFont val="Tahoma"/>
            <family val="2"/>
          </rPr>
          <t>Plantation:</t>
        </r>
        <r>
          <rPr>
            <sz val="9"/>
            <color indexed="81"/>
            <rFont val="Tahoma"/>
            <family val="2"/>
          </rPr>
          <t xml:space="preserve">
BOM added to Bill of Material spreadsheet
extras - add costing to invoice 
</t>
        </r>
      </text>
    </comment>
  </commentList>
</comments>
</file>

<file path=xl/sharedStrings.xml><?xml version="1.0" encoding="utf-8"?>
<sst xmlns="http://schemas.openxmlformats.org/spreadsheetml/2006/main" count="59" uniqueCount="58">
  <si>
    <t>NSW</t>
  </si>
  <si>
    <t>QLD</t>
  </si>
  <si>
    <t>PIL10418</t>
  </si>
  <si>
    <t>Shipped</t>
  </si>
  <si>
    <t>Alderton</t>
  </si>
  <si>
    <t>PIL392651</t>
  </si>
  <si>
    <t>STATE</t>
  </si>
  <si>
    <t>ORDER REFERENCE</t>
  </si>
  <si>
    <t>SHIPPING DETAILS</t>
  </si>
  <si>
    <t>CUSTOMER NAME</t>
  </si>
  <si>
    <t>UPDATES</t>
  </si>
  <si>
    <t>TOTAL PANELS</t>
  </si>
  <si>
    <t>HINGES</t>
  </si>
  <si>
    <t>SLIDING</t>
  </si>
  <si>
    <t>BIFOLD</t>
  </si>
  <si>
    <t>FIXED</t>
  </si>
  <si>
    <t>DÉCOR</t>
  </si>
  <si>
    <t>L\FRAME</t>
  </si>
  <si>
    <t>Z\FRAME</t>
  </si>
  <si>
    <t>JON CONFIRMED DELIVERY</t>
  </si>
  <si>
    <t>ShutterPRO</t>
  </si>
  <si>
    <t>OW</t>
  </si>
  <si>
    <t>BW</t>
  </si>
  <si>
    <t>.</t>
  </si>
  <si>
    <t>GRA 31.8.15</t>
  </si>
  <si>
    <t>GRA/REMAKES</t>
  </si>
  <si>
    <t>BOM</t>
  </si>
  <si>
    <t>GRA GIVEN TO PRODUCTION 14.9.15</t>
  </si>
  <si>
    <t>BOM/COSTED</t>
  </si>
  <si>
    <t>SHUTTERPRO</t>
  </si>
  <si>
    <t>FOLLOW UP</t>
  </si>
  <si>
    <t>DESPATCH/PICK UP</t>
  </si>
  <si>
    <t>PRICING/DÉCOR</t>
  </si>
  <si>
    <t>HOLD/GRA/REMAKES</t>
  </si>
  <si>
    <t>PRICE</t>
  </si>
  <si>
    <t>U650mm O650mm</t>
  </si>
  <si>
    <r>
      <rPr>
        <b/>
        <i/>
        <sz val="16"/>
        <rFont val="Calibri"/>
        <family val="2"/>
        <scheme val="minor"/>
      </rPr>
      <t>per</t>
    </r>
    <r>
      <rPr>
        <b/>
        <sz val="16"/>
        <rFont val="Calibri"/>
        <family val="2"/>
        <scheme val="minor"/>
      </rPr>
      <t xml:space="preserve"> PANEL</t>
    </r>
  </si>
  <si>
    <t>Invoiced</t>
  </si>
  <si>
    <t>&lt;700mm</t>
  </si>
  <si>
    <t>&gt;700mm</t>
  </si>
  <si>
    <t>Invoice Month</t>
  </si>
  <si>
    <t>Total SqM</t>
  </si>
  <si>
    <t>199 - Less then 700</t>
  </si>
  <si>
    <t>219 - More then 700 mm</t>
  </si>
  <si>
    <t xml:space="preserve">PLANNED </t>
  </si>
  <si>
    <t>SUB</t>
  </si>
  <si>
    <t>Count</t>
  </si>
  <si>
    <t>PLANNED ONLY</t>
  </si>
  <si>
    <t>[O;M5EMWL6</t>
  </si>
  <si>
    <t>BUCKMASTER</t>
  </si>
  <si>
    <t>PLANNED SHIPPING DATE</t>
  </si>
  <si>
    <t>ORDER DATE</t>
  </si>
  <si>
    <t>Wk1</t>
  </si>
  <si>
    <t>Wk2</t>
  </si>
  <si>
    <t>Wk3</t>
  </si>
  <si>
    <t>Wk4</t>
  </si>
  <si>
    <t>Wk5</t>
  </si>
  <si>
    <t>SAM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</si>
</sst>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22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color rgb="FFFF0000"/>
      <name val="Calibri"/>
      <family val="2"/>
      <scheme val="minor"/>
    </font>
    <font>
      <b/>
      <sz val="72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7030A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rgb="FF7030A0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0" applyFont="1"/>
    <xf numFmtId="0" fontId="4" fillId="0" borderId="1" xfId="0" applyFont="1" applyFill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4" fillId="2" borderId="1" xfId="0" applyFont="1" applyFill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2" fillId="0" borderId="0" xfId="0" applyFont="1" applyFill="1" applyBorder="1" applyAlignment="1">
      <alignment horizontal="left"/>
    </xf>
    <xf numFmtId="14" fontId="2" fillId="0" borderId="1" xfId="0" applyNumberFormat="1" applyFont="1" applyFill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1" fontId="4" fillId="2" borderId="1" xfId="0" applyNumberFormat="1" applyFont="1" applyFill="1" applyBorder="1" applyAlignment="1">
      <alignment horizontal="left" wrapText="1"/>
    </xf>
    <xf numFmtId="0" fontId="2" fillId="0" borderId="0" xfId="0" applyFont="1" applyAlignment="1">
      <alignment horizontal="left"/>
    </xf>
    <xf numFmtId="0" fontId="4" fillId="0" borderId="5" xfId="0" applyFont="1" applyFill="1" applyBorder="1" applyAlignment="1">
      <alignment horizontal="left" vertical="center" wrapText="1"/>
    </xf>
    <xf numFmtId="0" fontId="3" fillId="0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4" fillId="2" borderId="0" xfId="0" applyFont="1" applyFill="1"/>
    <xf numFmtId="14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left" vertical="center" wrapText="1"/>
    </xf>
    <xf numFmtId="14" fontId="6" fillId="2" borderId="12" xfId="0" applyNumberFormat="1" applyFont="1" applyFill="1" applyBorder="1" applyAlignment="1">
      <alignment horizontal="left" vertical="center" wrapText="1"/>
    </xf>
    <xf numFmtId="0" fontId="6" fillId="2" borderId="19" xfId="0" applyFont="1" applyFill="1" applyBorder="1" applyAlignment="1">
      <alignment horizontal="left" vertical="center" wrapText="1"/>
    </xf>
    <xf numFmtId="0" fontId="6" fillId="2" borderId="11" xfId="0" applyFont="1" applyFill="1" applyBorder="1" applyAlignment="1">
      <alignment horizontal="left" vertical="center" wrapText="1"/>
    </xf>
    <xf numFmtId="0" fontId="16" fillId="2" borderId="13" xfId="0" applyFont="1" applyFill="1" applyBorder="1" applyAlignment="1">
      <alignment horizontal="left" vertical="center" wrapText="1"/>
    </xf>
    <xf numFmtId="0" fontId="5" fillId="2" borderId="13" xfId="0" applyFont="1" applyFill="1" applyBorder="1" applyAlignment="1">
      <alignment horizontal="left" vertical="center" wrapText="1"/>
    </xf>
    <xf numFmtId="1" fontId="5" fillId="2" borderId="13" xfId="0" applyNumberFormat="1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wrapText="1"/>
    </xf>
    <xf numFmtId="0" fontId="4" fillId="2" borderId="0" xfId="0" applyFont="1" applyFill="1" applyAlignment="1"/>
    <xf numFmtId="0" fontId="4" fillId="2" borderId="5" xfId="0" applyFont="1" applyFill="1" applyBorder="1" applyAlignment="1">
      <alignment horizontal="left" vertical="center" wrapText="1"/>
    </xf>
    <xf numFmtId="1" fontId="4" fillId="2" borderId="5" xfId="0" applyNumberFormat="1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6" fillId="2" borderId="22" xfId="0" applyFont="1" applyFill="1" applyBorder="1" applyAlignment="1">
      <alignment horizontal="left" vertical="center" wrapText="1"/>
    </xf>
    <xf numFmtId="0" fontId="6" fillId="2" borderId="23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0" fontId="3" fillId="8" borderId="0" xfId="0" applyFont="1" applyFill="1" applyAlignment="1">
      <alignment horizontal="left"/>
    </xf>
    <xf numFmtId="14" fontId="2" fillId="9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14" fontId="2" fillId="7" borderId="13" xfId="0" applyNumberFormat="1" applyFont="1" applyFill="1" applyBorder="1" applyAlignment="1">
      <alignment horizontal="left" vertical="center"/>
    </xf>
    <xf numFmtId="14" fontId="2" fillId="5" borderId="2" xfId="0" applyNumberFormat="1" applyFont="1" applyFill="1" applyBorder="1" applyAlignment="1">
      <alignment horizontal="left" vertical="center"/>
    </xf>
    <xf numFmtId="14" fontId="2" fillId="6" borderId="2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/>
    </xf>
    <xf numFmtId="14" fontId="2" fillId="8" borderId="2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20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4" fillId="2" borderId="6" xfId="0" applyFont="1" applyFill="1" applyBorder="1" applyAlignment="1">
      <alignment horizontal="left" vertical="center" wrapText="1"/>
    </xf>
    <xf numFmtId="14" fontId="2" fillId="0" borderId="1" xfId="0" applyNumberFormat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4" fontId="2" fillId="0" borderId="0" xfId="0" applyNumberFormat="1" applyFont="1" applyFill="1" applyAlignment="1">
      <alignment horizontal="left" vertical="center"/>
    </xf>
    <xf numFmtId="0" fontId="4" fillId="0" borderId="0" xfId="0" applyFont="1" applyFill="1" applyBorder="1" applyAlignment="1">
      <alignment horizontal="left" vertical="center" wrapText="1"/>
    </xf>
    <xf numFmtId="17" fontId="4" fillId="2" borderId="1" xfId="0" applyNumberFormat="1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14" fontId="4" fillId="0" borderId="1" xfId="0" applyNumberFormat="1" applyFont="1" applyBorder="1" applyAlignment="1">
      <alignment horizontal="left"/>
    </xf>
    <xf numFmtId="14" fontId="4" fillId="2" borderId="1" xfId="0" applyNumberFormat="1" applyFont="1" applyFill="1" applyBorder="1" applyAlignment="1">
      <alignment horizontal="left" vertical="center" wrapText="1"/>
    </xf>
    <xf numFmtId="17" fontId="4" fillId="2" borderId="6" xfId="0" applyNumberFormat="1" applyFont="1" applyFill="1" applyBorder="1" applyAlignment="1">
      <alignment horizontal="left" vertical="center" wrapText="1"/>
    </xf>
    <xf numFmtId="14" fontId="4" fillId="2" borderId="7" xfId="0" applyNumberFormat="1" applyFont="1" applyFill="1" applyBorder="1" applyAlignment="1">
      <alignment horizontal="left" vertical="center" wrapText="1"/>
    </xf>
    <xf numFmtId="14" fontId="4" fillId="2" borderId="3" xfId="0" applyNumberFormat="1" applyFont="1" applyFill="1" applyBorder="1" applyAlignment="1">
      <alignment horizontal="left" vertical="center" wrapText="1"/>
    </xf>
    <xf numFmtId="14" fontId="4" fillId="2" borderId="3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17" fontId="4" fillId="2" borderId="1" xfId="0" applyNumberFormat="1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9" fillId="8" borderId="0" xfId="0" applyFont="1" applyFill="1" applyBorder="1" applyAlignment="1">
      <alignment horizontal="left" vertical="center" wrapText="1"/>
    </xf>
    <xf numFmtId="0" fontId="19" fillId="4" borderId="14" xfId="0" applyFont="1" applyFill="1" applyBorder="1" applyAlignment="1">
      <alignment horizontal="left" vertical="center" wrapText="1"/>
    </xf>
    <xf numFmtId="0" fontId="19" fillId="4" borderId="17" xfId="0" applyFont="1" applyFill="1" applyBorder="1" applyAlignment="1">
      <alignment horizontal="left" vertical="center" wrapText="1"/>
    </xf>
    <xf numFmtId="164" fontId="19" fillId="8" borderId="0" xfId="0" applyNumberFormat="1" applyFont="1" applyFill="1" applyBorder="1" applyAlignment="1">
      <alignment horizontal="left" vertical="center"/>
    </xf>
    <xf numFmtId="164" fontId="19" fillId="4" borderId="17" xfId="0" applyNumberFormat="1" applyFont="1" applyFill="1" applyBorder="1" applyAlignment="1">
      <alignment horizontal="left" vertical="center"/>
    </xf>
    <xf numFmtId="9" fontId="1" fillId="4" borderId="0" xfId="1" applyFont="1" applyFill="1" applyBorder="1" applyAlignment="1">
      <alignment horizontal="left" vertical="center"/>
    </xf>
    <xf numFmtId="9" fontId="1" fillId="4" borderId="18" xfId="1" applyFont="1" applyFill="1" applyBorder="1" applyAlignment="1">
      <alignment horizontal="left" vertical="center"/>
    </xf>
    <xf numFmtId="0" fontId="19" fillId="8" borderId="0" xfId="0" applyFont="1" applyFill="1" applyBorder="1" applyAlignment="1">
      <alignment horizontal="left" vertical="center"/>
    </xf>
    <xf numFmtId="0" fontId="19" fillId="8" borderId="2" xfId="0" applyFont="1" applyFill="1" applyBorder="1" applyAlignment="1">
      <alignment horizontal="left" vertical="center" wrapText="1"/>
    </xf>
    <xf numFmtId="0" fontId="19" fillId="2" borderId="10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4" fillId="8" borderId="6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1" fontId="4" fillId="2" borderId="8" xfId="0" applyNumberFormat="1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17" fontId="4" fillId="2" borderId="0" xfId="0" applyNumberFormat="1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vertical="center"/>
    </xf>
    <xf numFmtId="14" fontId="4" fillId="2" borderId="5" xfId="0" applyNumberFormat="1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/>
    </xf>
    <xf numFmtId="1" fontId="4" fillId="2" borderId="5" xfId="0" applyNumberFormat="1" applyFont="1" applyFill="1" applyBorder="1" applyAlignment="1">
      <alignment horizontal="left" vertical="center"/>
    </xf>
    <xf numFmtId="17" fontId="2" fillId="0" borderId="6" xfId="0" applyNumberFormat="1" applyFont="1" applyFill="1" applyBorder="1" applyAlignment="1">
      <alignment horizontal="left" vertical="center"/>
    </xf>
    <xf numFmtId="14" fontId="21" fillId="2" borderId="0" xfId="0" applyNumberFormat="1" applyFont="1" applyFill="1" applyBorder="1" applyAlignment="1">
      <alignment horizontal="left" vertical="center"/>
    </xf>
    <xf numFmtId="0" fontId="18" fillId="3" borderId="15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3" fillId="3" borderId="15" xfId="0" applyFont="1" applyFill="1" applyBorder="1" applyAlignment="1">
      <alignment horizontal="center" vertical="center" wrapText="1"/>
    </xf>
    <xf numFmtId="0" fontId="12" fillId="3" borderId="16" xfId="0" applyFont="1" applyFill="1" applyBorder="1" applyAlignment="1">
      <alignment horizontal="center" vertical="center" wrapText="1"/>
    </xf>
    <xf numFmtId="0" fontId="18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2" fillId="3" borderId="18" xfId="0" applyFont="1" applyFill="1" applyBorder="1" applyAlignment="1">
      <alignment horizontal="center" vertical="center" wrapText="1"/>
    </xf>
    <xf numFmtId="0" fontId="18" fillId="3" borderId="20" xfId="0" applyFont="1" applyFill="1" applyBorder="1" applyAlignment="1">
      <alignment horizontal="center" vertical="center" wrapText="1"/>
    </xf>
    <xf numFmtId="0" fontId="12" fillId="3" borderId="20" xfId="0" applyFont="1" applyFill="1" applyBorder="1" applyAlignment="1">
      <alignment horizontal="center" vertical="center" wrapText="1"/>
    </xf>
    <xf numFmtId="0" fontId="13" fillId="3" borderId="20" xfId="0" applyFont="1" applyFill="1" applyBorder="1" applyAlignment="1">
      <alignment horizontal="center" vertical="center" wrapText="1"/>
    </xf>
    <xf numFmtId="0" fontId="12" fillId="3" borderId="21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600"/>
      <color rgb="FFFFFF66"/>
      <color rgb="FF3333FF"/>
      <color rgb="FF66FFFF"/>
      <color rgb="FF00FF99"/>
      <color rgb="FFFF3399"/>
      <color rgb="FF00FF00"/>
      <color rgb="FF33CCCC"/>
      <color rgb="FF6699FF"/>
      <color rgb="FFF8A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1">
    <pageSetUpPr fitToPage="1"/>
  </sheetPr>
  <dimension ref="A1:EK1046775"/>
  <sheetViews>
    <sheetView tabSelected="1" zoomScale="85" zoomScaleNormal="85" workbookViewId="0">
      <selection activeCell="A7" sqref="A7"/>
    </sheetView>
  </sheetViews>
  <sheetFormatPr defaultColWidth="9.140625" defaultRowHeight="18.75"/>
  <cols>
    <col min="1" max="1" width="17.140625" style="71" bestFit="1" customWidth="1"/>
    <col min="2" max="2" width="18.85546875" style="54" customWidth="1"/>
    <col min="3" max="3" width="22" style="54" customWidth="1"/>
    <col min="4" max="4" width="15.140625" style="54" customWidth="1"/>
    <col min="5" max="5" width="16.28515625" style="54" customWidth="1"/>
    <col min="6" max="7" width="16.42578125" style="54" customWidth="1"/>
    <col min="8" max="8" width="18.28515625" style="51" customWidth="1"/>
    <col min="9" max="9" width="14.28515625" style="20" customWidth="1"/>
    <col min="10" max="10" width="13.28515625" style="63" customWidth="1"/>
    <col min="11" max="11" width="14.5703125" style="18" customWidth="1"/>
    <col min="12" max="12" width="15" style="18" customWidth="1"/>
    <col min="13" max="13" width="14.5703125" style="18" customWidth="1"/>
    <col min="14" max="14" width="13.85546875" style="18" customWidth="1"/>
    <col min="15" max="15" width="13" style="18" customWidth="1"/>
    <col min="16" max="16" width="12.28515625" style="18" customWidth="1"/>
    <col min="17" max="17" width="16.140625" style="18" customWidth="1"/>
    <col min="18" max="18" width="16" style="18" customWidth="1"/>
    <col min="19" max="19" width="7.140625" style="6" customWidth="1"/>
    <col min="20" max="20" width="7" style="6" customWidth="1"/>
    <col min="21" max="21" width="20.85546875" style="6" customWidth="1"/>
    <col min="22" max="22" width="217.140625" style="13" customWidth="1"/>
    <col min="23" max="23" width="24.28515625" style="13" customWidth="1"/>
    <col min="24" max="24" width="18.5703125" style="9" customWidth="1"/>
    <col min="25" max="25" width="49" style="6" customWidth="1"/>
    <col min="26" max="26" width="9.140625" style="3" customWidth="1"/>
    <col min="27" max="27" width="26.5703125" style="54" bestFit="1" customWidth="1"/>
    <col min="28" max="32" width="9.140625" style="3" customWidth="1"/>
    <col min="33" max="33" width="15.5703125" style="3" customWidth="1"/>
    <col min="34" max="38" width="9.140625" style="3" customWidth="1"/>
    <col min="39" max="39" width="15.85546875" style="3" customWidth="1"/>
    <col min="40" max="40" width="19.28515625" style="54" customWidth="1"/>
    <col min="41" max="108" width="9.140625" style="54" customWidth="1"/>
    <col min="109" max="112" width="9.140625" style="63" customWidth="1"/>
    <col min="113" max="128" width="9.140625" style="18" customWidth="1"/>
    <col min="129" max="141" width="9.140625" style="1" customWidth="1"/>
    <col min="142" max="16384" width="9.140625" style="64"/>
  </cols>
  <sheetData>
    <row r="1" spans="1:128" ht="19.5" customHeight="1" thickTop="1" thickBot="1">
      <c r="A1" s="52" t="s">
        <v>23</v>
      </c>
      <c r="B1" s="53" t="s">
        <v>32</v>
      </c>
      <c r="H1" s="88" t="s">
        <v>34</v>
      </c>
      <c r="I1" s="89" t="s">
        <v>45</v>
      </c>
      <c r="J1" s="48">
        <f t="shared" ref="J1:R1" si="0">SUBTOTAL(9,J7:J730)</f>
        <v>0</v>
      </c>
      <c r="K1" s="48">
        <f t="shared" si="0"/>
        <v>0</v>
      </c>
      <c r="L1" s="48">
        <f t="shared" si="0"/>
        <v>0</v>
      </c>
      <c r="M1" s="48">
        <f t="shared" si="0"/>
        <v>0</v>
      </c>
      <c r="N1" s="48">
        <f t="shared" si="0"/>
        <v>0</v>
      </c>
      <c r="O1" s="48">
        <f t="shared" si="0"/>
        <v>0</v>
      </c>
      <c r="P1" s="48">
        <f t="shared" si="0"/>
        <v>0</v>
      </c>
      <c r="Q1" s="48">
        <f t="shared" si="0"/>
        <v>0</v>
      </c>
      <c r="R1" s="48">
        <f t="shared" si="0"/>
        <v>0</v>
      </c>
      <c r="S1" s="117" t="s">
        <v>57</v>
      </c>
      <c r="T1" s="117"/>
      <c r="U1" s="118"/>
      <c r="V1" s="118"/>
      <c r="W1" s="119"/>
      <c r="X1" s="118"/>
      <c r="Y1" s="120"/>
      <c r="Z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</row>
    <row r="2" spans="1:128" ht="19.5" customHeight="1" thickTop="1" thickBot="1">
      <c r="A2" s="55"/>
      <c r="B2" s="53" t="s">
        <v>31</v>
      </c>
      <c r="E2" s="54" t="s">
        <v>3</v>
      </c>
      <c r="H2" s="88" t="s">
        <v>36</v>
      </c>
      <c r="I2" s="90"/>
      <c r="J2" s="47"/>
      <c r="K2" s="47"/>
      <c r="L2" s="47"/>
      <c r="M2" s="47"/>
      <c r="N2" s="47"/>
      <c r="O2" s="47"/>
      <c r="P2" s="47"/>
      <c r="Q2" s="47"/>
      <c r="R2" s="47"/>
      <c r="S2" s="121"/>
      <c r="T2" s="121"/>
      <c r="U2" s="122"/>
      <c r="V2" s="122"/>
      <c r="W2" s="123"/>
      <c r="X2" s="122"/>
      <c r="Y2" s="124"/>
      <c r="Z2" s="54"/>
      <c r="AB2" s="54"/>
      <c r="AC2" s="54"/>
      <c r="AD2" s="54"/>
      <c r="AE2" s="54"/>
      <c r="AF2" s="54"/>
      <c r="AG2" s="54"/>
      <c r="AH2" s="54" t="s">
        <v>52</v>
      </c>
      <c r="AI2" s="54"/>
      <c r="AJ2" s="54"/>
      <c r="AK2" s="54"/>
      <c r="AL2" s="54"/>
      <c r="AM2" s="54"/>
    </row>
    <row r="3" spans="1:128" ht="19.5" customHeight="1" thickTop="1" thickBot="1">
      <c r="A3" s="56"/>
      <c r="B3" s="53" t="s">
        <v>30</v>
      </c>
      <c r="H3" s="91" t="s">
        <v>42</v>
      </c>
      <c r="I3" s="92" t="s">
        <v>46</v>
      </c>
      <c r="J3" s="60">
        <f>SUBTOTAL(2, J7:J730)</f>
        <v>0</v>
      </c>
      <c r="K3" s="60">
        <f t="shared" ref="K3:R3" si="1">COUNT(K7:K730)</f>
        <v>1</v>
      </c>
      <c r="L3" s="60">
        <f t="shared" si="1"/>
        <v>0</v>
      </c>
      <c r="M3" s="60">
        <f t="shared" si="1"/>
        <v>1</v>
      </c>
      <c r="N3" s="60">
        <f t="shared" si="1"/>
        <v>0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1</v>
      </c>
      <c r="S3" s="121"/>
      <c r="T3" s="121"/>
      <c r="U3" s="122"/>
      <c r="V3" s="122"/>
      <c r="W3" s="123"/>
      <c r="X3" s="122"/>
      <c r="Y3" s="124"/>
      <c r="Z3" s="54"/>
      <c r="AB3" s="54"/>
      <c r="AC3" s="54"/>
      <c r="AD3" s="54"/>
      <c r="AE3" s="54"/>
      <c r="AF3" s="54"/>
      <c r="AG3" s="54"/>
      <c r="AH3" s="54" t="s">
        <v>53</v>
      </c>
      <c r="AI3" s="54"/>
      <c r="AJ3" s="54"/>
      <c r="AK3" s="54"/>
      <c r="AL3" s="54"/>
      <c r="AM3" s="54"/>
    </row>
    <row r="4" spans="1:128" ht="18.75" customHeight="1" thickTop="1" thickBot="1">
      <c r="A4" s="57"/>
      <c r="B4" s="58" t="s">
        <v>33</v>
      </c>
      <c r="E4" s="19"/>
      <c r="F4" s="72"/>
      <c r="G4" s="72"/>
      <c r="H4" s="91" t="s">
        <v>43</v>
      </c>
      <c r="I4" s="92"/>
      <c r="J4" s="60"/>
      <c r="K4" s="93">
        <f>+K5/J5</f>
        <v>1</v>
      </c>
      <c r="L4" s="93">
        <f t="shared" ref="L4" si="2">+L5/K5</f>
        <v>0</v>
      </c>
      <c r="M4" s="93">
        <f>+M5/J5</f>
        <v>1</v>
      </c>
      <c r="N4" s="93">
        <f>+N5/J5</f>
        <v>0</v>
      </c>
      <c r="O4" s="93">
        <f>+O5/J5</f>
        <v>0</v>
      </c>
      <c r="P4" s="93">
        <f>+P5/J5</f>
        <v>0</v>
      </c>
      <c r="Q4" s="93">
        <f>+Q5/J5</f>
        <v>0</v>
      </c>
      <c r="R4" s="94">
        <f>+R5/J5</f>
        <v>1</v>
      </c>
      <c r="S4" s="121"/>
      <c r="T4" s="121"/>
      <c r="U4" s="122"/>
      <c r="V4" s="122"/>
      <c r="W4" s="123"/>
      <c r="X4" s="122"/>
      <c r="Y4" s="124"/>
      <c r="Z4" s="54"/>
      <c r="AB4" s="54"/>
      <c r="AC4" s="54"/>
      <c r="AD4" s="54"/>
      <c r="AE4" s="54"/>
      <c r="AF4" s="54"/>
      <c r="AG4" s="54"/>
      <c r="AH4" s="54" t="s">
        <v>54</v>
      </c>
      <c r="AI4" s="54"/>
      <c r="AJ4" s="54"/>
      <c r="AK4" s="54"/>
      <c r="AL4" s="54"/>
      <c r="AM4" s="54"/>
    </row>
    <row r="5" spans="1:128" ht="22.5" customHeight="1" thickTop="1" thickBot="1">
      <c r="A5" s="59"/>
      <c r="B5" s="53" t="s">
        <v>29</v>
      </c>
      <c r="H5" s="95" t="s">
        <v>16</v>
      </c>
      <c r="I5" s="61">
        <f t="shared" ref="I5:R5" si="3">SUM(I7:I730)</f>
        <v>0</v>
      </c>
      <c r="J5" s="61">
        <f t="shared" si="3"/>
        <v>11</v>
      </c>
      <c r="K5" s="61">
        <f t="shared" si="3"/>
        <v>11</v>
      </c>
      <c r="L5" s="61">
        <f t="shared" si="3"/>
        <v>0</v>
      </c>
      <c r="M5" s="61">
        <f t="shared" si="3"/>
        <v>11</v>
      </c>
      <c r="N5" s="61">
        <f t="shared" si="3"/>
        <v>0</v>
      </c>
      <c r="O5" s="61">
        <f t="shared" si="3"/>
        <v>0</v>
      </c>
      <c r="P5" s="61">
        <f t="shared" si="3"/>
        <v>0</v>
      </c>
      <c r="Q5" s="61">
        <f t="shared" si="3"/>
        <v>0</v>
      </c>
      <c r="R5" s="61">
        <f t="shared" si="3"/>
        <v>11</v>
      </c>
      <c r="S5" s="125"/>
      <c r="T5" s="125"/>
      <c r="U5" s="126"/>
      <c r="V5" s="126"/>
      <c r="W5" s="127"/>
      <c r="X5" s="126"/>
      <c r="Y5" s="128"/>
      <c r="Z5" s="54"/>
      <c r="AA5" s="62" t="s">
        <v>47</v>
      </c>
      <c r="AB5" s="54"/>
      <c r="AC5" s="54"/>
      <c r="AD5" s="54"/>
      <c r="AE5" s="54"/>
      <c r="AF5" s="54"/>
      <c r="AG5" s="54"/>
      <c r="AH5" s="54" t="s">
        <v>55</v>
      </c>
      <c r="AI5" s="54"/>
      <c r="AJ5" s="54"/>
      <c r="AK5" s="54"/>
      <c r="AL5" s="54"/>
      <c r="AM5" s="54"/>
    </row>
    <row r="6" spans="1:128" s="32" customFormat="1" ht="69.75" customHeight="1" thickTop="1" thickBot="1">
      <c r="A6" s="26" t="s">
        <v>51</v>
      </c>
      <c r="B6" s="27" t="s">
        <v>7</v>
      </c>
      <c r="C6" s="28" t="s">
        <v>9</v>
      </c>
      <c r="D6" s="28" t="s">
        <v>6</v>
      </c>
      <c r="E6" s="28"/>
      <c r="F6" s="28" t="s">
        <v>40</v>
      </c>
      <c r="G6" s="28" t="s">
        <v>26</v>
      </c>
      <c r="H6" s="96" t="s">
        <v>35</v>
      </c>
      <c r="I6" s="97" t="s">
        <v>41</v>
      </c>
      <c r="J6" s="41" t="s">
        <v>11</v>
      </c>
      <c r="K6" s="42" t="s">
        <v>38</v>
      </c>
      <c r="L6" s="43" t="s">
        <v>39</v>
      </c>
      <c r="M6" s="43" t="s">
        <v>12</v>
      </c>
      <c r="N6" s="43" t="s">
        <v>13</v>
      </c>
      <c r="O6" s="43" t="s">
        <v>14</v>
      </c>
      <c r="P6" s="43" t="s">
        <v>15</v>
      </c>
      <c r="Q6" s="43" t="s">
        <v>18</v>
      </c>
      <c r="R6" s="43" t="s">
        <v>17</v>
      </c>
      <c r="S6" s="29" t="s">
        <v>21</v>
      </c>
      <c r="T6" s="29" t="s">
        <v>22</v>
      </c>
      <c r="U6" s="29" t="s">
        <v>25</v>
      </c>
      <c r="V6" s="30" t="s">
        <v>10</v>
      </c>
      <c r="W6" s="29" t="s">
        <v>28</v>
      </c>
      <c r="X6" s="31" t="s">
        <v>20</v>
      </c>
      <c r="Y6" s="30" t="s">
        <v>8</v>
      </c>
      <c r="Z6" s="76"/>
      <c r="AA6" s="28" t="s">
        <v>50</v>
      </c>
      <c r="AH6" s="54" t="s">
        <v>56</v>
      </c>
      <c r="AM6" s="46" t="s">
        <v>44</v>
      </c>
    </row>
    <row r="7" spans="1:128" s="40" customFormat="1" ht="18.75" customHeight="1">
      <c r="A7" s="78"/>
      <c r="B7" s="67"/>
      <c r="C7" s="67"/>
      <c r="D7" s="67"/>
      <c r="E7" s="25"/>
      <c r="F7" s="115"/>
      <c r="G7" s="86"/>
      <c r="H7" s="50"/>
      <c r="I7" s="10"/>
      <c r="J7" s="68"/>
      <c r="K7" s="4"/>
      <c r="L7" s="4"/>
      <c r="M7" s="4"/>
      <c r="N7" s="4"/>
      <c r="O7" s="4"/>
      <c r="P7" s="4"/>
      <c r="Q7" s="4"/>
      <c r="R7" s="4"/>
      <c r="S7" s="7"/>
      <c r="T7" s="7"/>
      <c r="U7" s="7"/>
      <c r="V7" s="11"/>
      <c r="W7" s="11"/>
      <c r="X7" s="16"/>
      <c r="Y7" s="77"/>
      <c r="Z7" s="14"/>
      <c r="AA7" s="116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5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63"/>
      <c r="DF7" s="63"/>
      <c r="DG7" s="63"/>
      <c r="DH7" s="63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</row>
    <row r="8" spans="1:128" s="40" customFormat="1" ht="18.75" customHeight="1">
      <c r="A8" s="78"/>
      <c r="B8" s="65"/>
      <c r="C8" s="65"/>
      <c r="D8" s="65"/>
      <c r="E8" s="25"/>
      <c r="F8" s="84"/>
      <c r="G8" s="79"/>
      <c r="H8" s="101"/>
      <c r="I8" s="102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65"/>
      <c r="W8" s="103"/>
      <c r="X8" s="104"/>
      <c r="Y8" s="103"/>
      <c r="Z8" s="74"/>
      <c r="AA8" s="74"/>
      <c r="AB8" s="70"/>
      <c r="AC8" s="70"/>
      <c r="AD8" s="70"/>
      <c r="AE8" s="70"/>
      <c r="AF8" s="70"/>
      <c r="AG8" s="100"/>
      <c r="AH8" s="70"/>
      <c r="AI8" s="70"/>
      <c r="AJ8" s="70"/>
      <c r="AK8" s="70"/>
      <c r="AL8" s="70"/>
      <c r="AM8" s="69"/>
      <c r="AN8" s="70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</row>
    <row r="9" spans="1:128" s="22" customFormat="1" ht="18.75" customHeight="1">
      <c r="A9" s="80"/>
      <c r="B9" s="65"/>
      <c r="C9" s="65"/>
      <c r="D9" s="65"/>
      <c r="E9" s="25"/>
      <c r="F9" s="25"/>
      <c r="G9" s="79"/>
      <c r="H9" s="101"/>
      <c r="I9" s="102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65"/>
      <c r="W9" s="103"/>
      <c r="X9" s="104"/>
      <c r="Y9" s="106"/>
      <c r="Z9" s="87"/>
      <c r="AA9" s="87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83"/>
      <c r="AN9" s="10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</row>
    <row r="10" spans="1:128" s="22" customFormat="1" ht="18.75" customHeight="1">
      <c r="A10" s="81"/>
      <c r="B10" s="25"/>
      <c r="C10" s="25"/>
      <c r="D10" s="25"/>
      <c r="E10" s="25"/>
      <c r="F10" s="25"/>
      <c r="G10" s="79"/>
      <c r="H10" s="98"/>
      <c r="I10" s="99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25"/>
      <c r="W10" s="108"/>
      <c r="X10" s="36"/>
      <c r="Y10" s="109"/>
      <c r="Z10" s="87"/>
      <c r="AA10" s="87"/>
      <c r="AB10" s="105"/>
      <c r="AC10" s="105"/>
      <c r="AD10" s="105"/>
      <c r="AE10" s="105"/>
      <c r="AF10" s="105"/>
      <c r="AG10" s="105"/>
      <c r="AH10" s="107"/>
      <c r="AI10" s="105"/>
      <c r="AJ10" s="105"/>
      <c r="AK10" s="105"/>
      <c r="AL10" s="105"/>
      <c r="AM10" s="83"/>
      <c r="AN10" s="10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</row>
    <row r="11" spans="1:128" s="22" customFormat="1" ht="18.75" customHeight="1">
      <c r="A11" s="81"/>
      <c r="B11" s="25"/>
      <c r="C11" s="25"/>
      <c r="D11" s="25"/>
      <c r="E11" s="25"/>
      <c r="F11" s="25"/>
      <c r="G11" s="79"/>
      <c r="H11" s="98"/>
      <c r="I11" s="99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25"/>
      <c r="W11" s="108"/>
      <c r="X11" s="36"/>
      <c r="Y11" s="109"/>
      <c r="Z11" s="87"/>
      <c r="AA11" s="87"/>
      <c r="AB11" s="105"/>
      <c r="AC11" s="105"/>
      <c r="AD11" s="105"/>
      <c r="AE11" s="105"/>
      <c r="AF11" s="105"/>
      <c r="AG11" s="105"/>
      <c r="AH11" s="107"/>
      <c r="AI11" s="105"/>
      <c r="AJ11" s="105"/>
      <c r="AK11" s="105"/>
      <c r="AL11" s="105"/>
      <c r="AM11" s="83"/>
      <c r="AN11" s="10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</row>
    <row r="12" spans="1:128" s="22" customFormat="1" ht="18.75" customHeight="1">
      <c r="A12" s="81"/>
      <c r="B12" s="25"/>
      <c r="C12" s="25"/>
      <c r="D12" s="25"/>
      <c r="E12" s="25"/>
      <c r="F12" s="25"/>
      <c r="G12" s="79"/>
      <c r="H12" s="98"/>
      <c r="I12" s="99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25"/>
      <c r="V12" s="83"/>
      <c r="W12" s="108"/>
      <c r="X12" s="36"/>
      <c r="Y12" s="110"/>
      <c r="Z12" s="87"/>
      <c r="AA12" s="87"/>
      <c r="AB12" s="105"/>
      <c r="AC12" s="105"/>
      <c r="AD12" s="105"/>
      <c r="AE12" s="105"/>
      <c r="AF12" s="105"/>
      <c r="AG12" s="105"/>
      <c r="AH12" s="107"/>
      <c r="AI12" s="105"/>
      <c r="AJ12" s="105"/>
      <c r="AK12" s="105"/>
      <c r="AL12" s="105"/>
      <c r="AM12" s="83"/>
      <c r="AN12" s="10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</row>
    <row r="13" spans="1:128" s="22" customFormat="1" ht="18.75" customHeight="1">
      <c r="A13" s="81"/>
      <c r="B13" s="25"/>
      <c r="C13" s="25"/>
      <c r="D13" s="25"/>
      <c r="E13" s="25"/>
      <c r="F13" s="25"/>
      <c r="G13" s="79"/>
      <c r="H13" s="98"/>
      <c r="I13" s="99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25"/>
      <c r="W13" s="108"/>
      <c r="X13" s="36"/>
      <c r="Y13" s="109"/>
      <c r="Z13" s="87"/>
      <c r="AA13" s="87"/>
      <c r="AB13" s="105"/>
      <c r="AC13" s="105"/>
      <c r="AD13" s="105"/>
      <c r="AE13" s="105"/>
      <c r="AF13" s="105"/>
      <c r="AG13" s="105"/>
      <c r="AH13" s="107"/>
      <c r="AI13" s="105"/>
      <c r="AJ13" s="105"/>
      <c r="AK13" s="105"/>
      <c r="AL13" s="105"/>
      <c r="AM13" s="83"/>
      <c r="AN13" s="10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</row>
    <row r="14" spans="1:128" s="22" customFormat="1" ht="18.75" customHeight="1">
      <c r="A14" s="81"/>
      <c r="B14" s="25"/>
      <c r="C14" s="25"/>
      <c r="D14" s="25"/>
      <c r="E14" s="25"/>
      <c r="F14" s="25"/>
      <c r="G14" s="79"/>
      <c r="H14" s="98"/>
      <c r="I14" s="99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25"/>
      <c r="W14" s="108"/>
      <c r="X14" s="36"/>
      <c r="Y14" s="109"/>
      <c r="Z14" s="87"/>
      <c r="AA14" s="87"/>
      <c r="AB14" s="105"/>
      <c r="AC14" s="105"/>
      <c r="AD14" s="105"/>
      <c r="AE14" s="105"/>
      <c r="AF14" s="105"/>
      <c r="AG14" s="105"/>
      <c r="AH14" s="107"/>
      <c r="AI14" s="105"/>
      <c r="AJ14" s="105"/>
      <c r="AK14" s="105"/>
      <c r="AL14" s="105"/>
      <c r="AM14" s="83"/>
      <c r="AN14" s="10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</row>
    <row r="15" spans="1:128" s="22" customFormat="1" ht="18.75" customHeight="1">
      <c r="A15" s="81"/>
      <c r="B15" s="25"/>
      <c r="C15" s="25"/>
      <c r="D15" s="25"/>
      <c r="E15" s="25"/>
      <c r="F15" s="25"/>
      <c r="G15" s="79"/>
      <c r="H15" s="98"/>
      <c r="I15" s="99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25"/>
      <c r="W15" s="108"/>
      <c r="X15" s="36"/>
      <c r="Y15" s="109"/>
      <c r="Z15" s="87"/>
      <c r="AA15" s="87"/>
      <c r="AB15" s="105"/>
      <c r="AC15" s="105"/>
      <c r="AD15" s="105"/>
      <c r="AE15" s="105"/>
      <c r="AF15" s="105"/>
      <c r="AG15" s="105"/>
      <c r="AH15" s="107"/>
      <c r="AI15" s="105"/>
      <c r="AJ15" s="105"/>
      <c r="AK15" s="105"/>
      <c r="AL15" s="105"/>
      <c r="AM15" s="83"/>
      <c r="AN15" s="10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</row>
    <row r="16" spans="1:128" s="22" customFormat="1" ht="18.75" customHeight="1">
      <c r="A16" s="81"/>
      <c r="B16" s="25"/>
      <c r="C16" s="25"/>
      <c r="D16" s="25"/>
      <c r="E16" s="25"/>
      <c r="F16" s="25"/>
      <c r="G16" s="79"/>
      <c r="H16" s="98"/>
      <c r="I16" s="99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25"/>
      <c r="W16" s="108"/>
      <c r="X16" s="36"/>
      <c r="Y16" s="109"/>
      <c r="Z16" s="87"/>
      <c r="AA16" s="87"/>
      <c r="AB16" s="105"/>
      <c r="AC16" s="105"/>
      <c r="AD16" s="105"/>
      <c r="AE16" s="105"/>
      <c r="AF16" s="105"/>
      <c r="AG16" s="105"/>
      <c r="AH16" s="107"/>
      <c r="AI16" s="105"/>
      <c r="AJ16" s="105"/>
      <c r="AK16" s="105"/>
      <c r="AL16" s="105"/>
      <c r="AM16" s="83"/>
      <c r="AN16" s="10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</row>
    <row r="17" spans="1:128" s="22" customFormat="1" ht="18.75" customHeight="1">
      <c r="A17" s="81"/>
      <c r="B17" s="25"/>
      <c r="C17" s="25"/>
      <c r="D17" s="25"/>
      <c r="E17" s="25"/>
      <c r="F17" s="25"/>
      <c r="G17" s="79"/>
      <c r="H17" s="98"/>
      <c r="I17" s="99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25"/>
      <c r="W17" s="108"/>
      <c r="X17" s="36"/>
      <c r="Y17" s="109"/>
      <c r="Z17" s="87"/>
      <c r="AA17" s="87"/>
      <c r="AB17" s="105"/>
      <c r="AC17" s="105"/>
      <c r="AD17" s="105"/>
      <c r="AE17" s="105"/>
      <c r="AF17" s="105"/>
      <c r="AG17" s="105"/>
      <c r="AH17" s="107"/>
      <c r="AI17" s="105"/>
      <c r="AJ17" s="105"/>
      <c r="AK17" s="105"/>
      <c r="AL17" s="105"/>
      <c r="AM17" s="83"/>
      <c r="AN17" s="10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</row>
    <row r="18" spans="1:128" s="22" customFormat="1" ht="18.75" customHeight="1">
      <c r="A18" s="81"/>
      <c r="B18" s="25"/>
      <c r="C18" s="25"/>
      <c r="D18" s="25"/>
      <c r="E18" s="25"/>
      <c r="F18" s="25"/>
      <c r="G18" s="79"/>
      <c r="H18" s="98"/>
      <c r="I18" s="99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25"/>
      <c r="W18" s="108"/>
      <c r="X18" s="36"/>
      <c r="Y18" s="109"/>
      <c r="Z18" s="87"/>
      <c r="AA18" s="87"/>
      <c r="AB18" s="105"/>
      <c r="AC18" s="105"/>
      <c r="AD18" s="105"/>
      <c r="AE18" s="105"/>
      <c r="AF18" s="105"/>
      <c r="AG18" s="105"/>
      <c r="AH18" s="107"/>
      <c r="AI18" s="105"/>
      <c r="AJ18" s="105"/>
      <c r="AK18" s="105"/>
      <c r="AL18" s="105"/>
      <c r="AM18" s="83"/>
      <c r="AN18" s="10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</row>
    <row r="19" spans="1:128" s="22" customFormat="1" ht="18.75" customHeight="1">
      <c r="A19" s="81"/>
      <c r="B19" s="25"/>
      <c r="C19" s="25"/>
      <c r="D19" s="25"/>
      <c r="E19" s="25"/>
      <c r="F19" s="25"/>
      <c r="G19" s="79"/>
      <c r="H19" s="98"/>
      <c r="I19" s="99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25"/>
      <c r="W19" s="108"/>
      <c r="X19" s="36"/>
      <c r="Y19" s="109"/>
      <c r="Z19" s="87"/>
      <c r="AA19" s="87"/>
      <c r="AB19" s="105"/>
      <c r="AC19" s="105"/>
      <c r="AD19" s="105"/>
      <c r="AE19" s="105"/>
      <c r="AF19" s="105"/>
      <c r="AG19" s="105"/>
      <c r="AH19" s="107"/>
      <c r="AI19" s="105"/>
      <c r="AJ19" s="105"/>
      <c r="AK19" s="105"/>
      <c r="AL19" s="105"/>
      <c r="AM19" s="83"/>
      <c r="AN19" s="10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</row>
    <row r="20" spans="1:128" s="22" customFormat="1" ht="18.75" customHeight="1">
      <c r="A20" s="82"/>
      <c r="B20" s="83"/>
      <c r="C20" s="83"/>
      <c r="D20" s="83"/>
      <c r="E20" s="25"/>
      <c r="F20" s="25"/>
      <c r="G20" s="79"/>
      <c r="H20" s="98"/>
      <c r="I20" s="99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108"/>
      <c r="X20" s="114"/>
      <c r="Y20" s="110"/>
      <c r="Z20" s="87"/>
      <c r="AA20" s="87"/>
      <c r="AB20" s="105"/>
      <c r="AC20" s="105"/>
      <c r="AD20" s="105"/>
      <c r="AE20" s="105"/>
      <c r="AF20" s="105"/>
      <c r="AG20" s="105"/>
      <c r="AH20" s="107"/>
      <c r="AI20" s="105"/>
      <c r="AJ20" s="105"/>
      <c r="AK20" s="105"/>
      <c r="AL20" s="105"/>
      <c r="AM20" s="83"/>
      <c r="AN20" s="10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</row>
    <row r="21" spans="1:128" s="22" customFormat="1" ht="18.75" customHeight="1">
      <c r="A21" s="81"/>
      <c r="B21" s="25"/>
      <c r="C21" s="25"/>
      <c r="D21" s="25"/>
      <c r="E21" s="25"/>
      <c r="F21" s="25"/>
      <c r="G21" s="79"/>
      <c r="H21" s="98"/>
      <c r="I21" s="99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25"/>
      <c r="W21" s="108"/>
      <c r="X21" s="36"/>
      <c r="Y21" s="106"/>
      <c r="Z21" s="87"/>
      <c r="AA21" s="87"/>
      <c r="AB21" s="105"/>
      <c r="AC21" s="105"/>
      <c r="AD21" s="105"/>
      <c r="AE21" s="105"/>
      <c r="AF21" s="105"/>
      <c r="AG21" s="105"/>
      <c r="AH21" s="107"/>
      <c r="AI21" s="105"/>
      <c r="AJ21" s="105"/>
      <c r="AK21" s="105"/>
      <c r="AL21" s="105"/>
      <c r="AM21" s="83"/>
      <c r="AN21" s="105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</row>
    <row r="22" spans="1:128" s="22" customFormat="1" ht="18.75" customHeight="1">
      <c r="A22" s="81"/>
      <c r="B22" s="25"/>
      <c r="C22" s="25"/>
      <c r="D22" s="25"/>
      <c r="E22" s="25"/>
      <c r="F22" s="25"/>
      <c r="G22" s="79"/>
      <c r="H22" s="98"/>
      <c r="I22" s="99"/>
      <c r="J22" s="83"/>
      <c r="K22" s="83"/>
      <c r="L22" s="83"/>
      <c r="M22" s="83"/>
      <c r="N22" s="83"/>
      <c r="O22" s="83"/>
      <c r="P22" s="83"/>
      <c r="Q22" s="83"/>
      <c r="R22" s="83"/>
      <c r="S22" s="25"/>
      <c r="T22" s="25"/>
      <c r="U22" s="25"/>
      <c r="V22" s="25"/>
      <c r="W22" s="35"/>
      <c r="X22" s="36"/>
      <c r="Y22" s="109"/>
      <c r="Z22" s="87"/>
      <c r="AA22" s="87"/>
      <c r="AB22" s="105"/>
      <c r="AC22" s="105"/>
      <c r="AD22" s="105"/>
      <c r="AE22" s="105"/>
      <c r="AF22" s="105"/>
      <c r="AG22" s="111"/>
      <c r="AH22" s="107"/>
      <c r="AI22" s="105"/>
      <c r="AJ22" s="105"/>
      <c r="AK22" s="105"/>
      <c r="AL22" s="105"/>
      <c r="AM22" s="83"/>
      <c r="AN22" s="105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</row>
    <row r="23" spans="1:128" s="22" customFormat="1" ht="18.75" customHeight="1">
      <c r="A23" s="81"/>
      <c r="B23" s="25"/>
      <c r="C23" s="25"/>
      <c r="D23" s="25"/>
      <c r="E23" s="25"/>
      <c r="F23" s="25"/>
      <c r="G23" s="79"/>
      <c r="H23" s="98"/>
      <c r="I23" s="99"/>
      <c r="J23" s="83"/>
      <c r="K23" s="83"/>
      <c r="L23" s="83"/>
      <c r="M23" s="83"/>
      <c r="N23" s="83"/>
      <c r="O23" s="83"/>
      <c r="P23" s="83"/>
      <c r="Q23" s="83"/>
      <c r="R23" s="83"/>
      <c r="S23" s="78"/>
      <c r="T23" s="78"/>
      <c r="U23" s="78"/>
      <c r="V23" s="25"/>
      <c r="W23" s="112"/>
      <c r="X23" s="36"/>
      <c r="Y23" s="113"/>
      <c r="Z23" s="87"/>
      <c r="AA23" s="87"/>
      <c r="AB23" s="105"/>
      <c r="AC23" s="105"/>
      <c r="AD23" s="105"/>
      <c r="AE23" s="105"/>
      <c r="AF23" s="105"/>
      <c r="AG23" s="105"/>
      <c r="AH23" s="107"/>
      <c r="AI23" s="105"/>
      <c r="AJ23" s="105"/>
      <c r="AK23" s="105"/>
      <c r="AL23" s="105"/>
      <c r="AM23" s="83"/>
      <c r="AN23" s="105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</row>
    <row r="24" spans="1:128" s="22" customFormat="1" ht="18.75" customHeight="1">
      <c r="A24" s="81"/>
      <c r="B24" s="25"/>
      <c r="C24" s="25"/>
      <c r="D24" s="25"/>
      <c r="E24" s="25"/>
      <c r="F24" s="25"/>
      <c r="G24" s="79"/>
      <c r="H24" s="98"/>
      <c r="I24" s="99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25"/>
      <c r="W24" s="108"/>
      <c r="X24" s="36"/>
      <c r="Y24" s="109"/>
      <c r="Z24" s="87"/>
      <c r="AA24" s="87"/>
      <c r="AB24" s="105"/>
      <c r="AC24" s="105"/>
      <c r="AD24" s="105"/>
      <c r="AE24" s="105"/>
      <c r="AF24" s="105"/>
      <c r="AH24" s="107"/>
      <c r="AI24" s="105"/>
      <c r="AJ24" s="105"/>
      <c r="AK24" s="105"/>
      <c r="AL24" s="105"/>
      <c r="AM24" s="83"/>
      <c r="AN24" s="105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</row>
    <row r="25" spans="1:128" s="22" customFormat="1" ht="18.75" customHeight="1">
      <c r="A25" s="81"/>
      <c r="B25" s="25"/>
      <c r="C25" s="25"/>
      <c r="D25" s="25"/>
      <c r="E25" s="25"/>
      <c r="F25" s="25"/>
      <c r="G25" s="79"/>
      <c r="H25" s="98"/>
      <c r="I25" s="99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25"/>
      <c r="W25" s="108"/>
      <c r="X25" s="36"/>
      <c r="Y25" s="109"/>
      <c r="Z25" s="87"/>
      <c r="AA25" s="87"/>
      <c r="AB25" s="105"/>
      <c r="AC25" s="105"/>
      <c r="AD25" s="105"/>
      <c r="AE25" s="105"/>
      <c r="AF25" s="105"/>
      <c r="AG25" s="105"/>
      <c r="AH25" s="107"/>
      <c r="AI25" s="105"/>
      <c r="AJ25" s="105"/>
      <c r="AK25" s="105"/>
      <c r="AL25" s="105"/>
      <c r="AM25" s="83"/>
      <c r="AN25" s="105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</row>
    <row r="26" spans="1:128" s="22" customFormat="1" ht="18.75" customHeight="1">
      <c r="A26" s="81"/>
      <c r="B26" s="25"/>
      <c r="C26" s="25"/>
      <c r="D26" s="25"/>
      <c r="E26" s="25"/>
      <c r="F26" s="25"/>
      <c r="G26" s="79"/>
      <c r="H26" s="98"/>
      <c r="I26" s="99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25"/>
      <c r="W26" s="108"/>
      <c r="X26" s="36"/>
      <c r="Y26" s="109"/>
      <c r="Z26" s="87"/>
      <c r="AA26" s="87"/>
      <c r="AB26" s="105"/>
      <c r="AC26" s="105"/>
      <c r="AD26" s="105"/>
      <c r="AE26" s="105"/>
      <c r="AF26" s="105"/>
      <c r="AG26" s="105"/>
      <c r="AH26" s="107"/>
      <c r="AI26" s="105"/>
      <c r="AJ26" s="105"/>
      <c r="AK26" s="105"/>
      <c r="AL26" s="105"/>
      <c r="AM26" s="83"/>
      <c r="AN26" s="105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</row>
    <row r="27" spans="1:128" s="22" customFormat="1" ht="18.75" customHeight="1">
      <c r="A27" s="81"/>
      <c r="B27" s="25"/>
      <c r="C27" s="25"/>
      <c r="D27" s="25"/>
      <c r="E27" s="25"/>
      <c r="F27" s="25"/>
      <c r="G27" s="79"/>
      <c r="H27" s="98"/>
      <c r="I27" s="99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108"/>
      <c r="X27" s="36"/>
      <c r="Y27" s="110"/>
      <c r="Z27" s="87"/>
      <c r="AA27" s="87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105"/>
      <c r="AM27" s="83"/>
      <c r="AN27" s="105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</row>
    <row r="28" spans="1:128" s="22" customFormat="1" ht="18.75" customHeight="1">
      <c r="A28" s="81"/>
      <c r="B28" s="25"/>
      <c r="C28" s="25"/>
      <c r="D28" s="25"/>
      <c r="E28" s="25"/>
      <c r="F28" s="25"/>
      <c r="G28" s="79"/>
      <c r="H28" s="98"/>
      <c r="I28" s="99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25"/>
      <c r="W28" s="108"/>
      <c r="X28" s="36"/>
      <c r="Y28" s="109"/>
      <c r="Z28" s="87"/>
      <c r="AA28" s="87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83"/>
      <c r="AN28" s="105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</row>
    <row r="29" spans="1:128" s="22" customFormat="1" ht="18.75" customHeight="1">
      <c r="A29" s="81"/>
      <c r="B29" s="25"/>
      <c r="C29" s="25"/>
      <c r="D29" s="25"/>
      <c r="E29" s="25"/>
      <c r="F29" s="25"/>
      <c r="G29" s="79"/>
      <c r="H29" s="98"/>
      <c r="I29" s="99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25"/>
      <c r="W29" s="108"/>
      <c r="X29" s="114"/>
      <c r="Y29" s="110"/>
      <c r="Z29" s="87"/>
      <c r="AA29" s="87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83"/>
      <c r="AN29" s="105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</row>
    <row r="30" spans="1:128" s="22" customFormat="1" ht="18.75" customHeight="1">
      <c r="A30" s="81"/>
      <c r="B30" s="25"/>
      <c r="C30" s="25"/>
      <c r="D30" s="25"/>
      <c r="E30" s="25"/>
      <c r="F30" s="25"/>
      <c r="G30" s="79"/>
      <c r="H30" s="98"/>
      <c r="I30" s="99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25"/>
      <c r="W30" s="108"/>
      <c r="X30" s="36"/>
      <c r="Y30" s="109"/>
      <c r="Z30" s="87"/>
      <c r="AA30" s="87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83"/>
      <c r="AN30" s="105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</row>
    <row r="31" spans="1:128" s="22" customFormat="1" ht="18.75" customHeight="1">
      <c r="A31" s="81"/>
      <c r="B31" s="25"/>
      <c r="C31" s="25"/>
      <c r="D31" s="25"/>
      <c r="E31" s="25"/>
      <c r="F31" s="25"/>
      <c r="G31" s="79"/>
      <c r="H31" s="98"/>
      <c r="I31" s="99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25"/>
      <c r="W31" s="108"/>
      <c r="X31" s="36"/>
      <c r="Y31" s="109"/>
      <c r="Z31" s="87"/>
      <c r="AA31" s="87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83"/>
      <c r="AN31" s="105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</row>
    <row r="32" spans="1:128" s="22" customFormat="1" ht="18.75" customHeight="1">
      <c r="A32" s="81"/>
      <c r="B32" s="25"/>
      <c r="C32" s="25"/>
      <c r="D32" s="25"/>
      <c r="E32" s="25"/>
      <c r="F32" s="25"/>
      <c r="G32" s="79"/>
      <c r="H32" s="98"/>
      <c r="I32" s="99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25"/>
      <c r="W32" s="108"/>
      <c r="X32" s="36"/>
      <c r="Y32" s="109"/>
      <c r="Z32" s="87"/>
      <c r="AA32" s="87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83"/>
      <c r="AN32" s="105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</row>
    <row r="33" spans="1:128" s="22" customFormat="1" ht="18.75" customHeight="1">
      <c r="A33" s="81"/>
      <c r="B33" s="25"/>
      <c r="C33" s="25"/>
      <c r="D33" s="25"/>
      <c r="E33" s="25"/>
      <c r="F33" s="25"/>
      <c r="G33" s="79"/>
      <c r="H33" s="98"/>
      <c r="I33" s="99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25"/>
      <c r="W33" s="108"/>
      <c r="X33" s="36"/>
      <c r="Y33" s="110"/>
      <c r="Z33" s="87"/>
      <c r="AA33" s="87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83"/>
      <c r="AN33" s="105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</row>
    <row r="34" spans="1:128" s="22" customFormat="1" ht="18.75" customHeight="1">
      <c r="A34" s="81"/>
      <c r="B34" s="25"/>
      <c r="C34" s="25"/>
      <c r="D34" s="25"/>
      <c r="E34" s="25"/>
      <c r="F34" s="25"/>
      <c r="G34" s="79"/>
      <c r="H34" s="98"/>
      <c r="I34" s="99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25"/>
      <c r="W34" s="108"/>
      <c r="X34" s="36"/>
      <c r="Y34" s="109"/>
      <c r="Z34" s="87"/>
      <c r="AA34" s="87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83"/>
      <c r="AN34" s="105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</row>
    <row r="35" spans="1:128" s="22" customFormat="1" ht="18.75" customHeight="1">
      <c r="A35" s="81"/>
      <c r="B35" s="25"/>
      <c r="C35" s="25"/>
      <c r="D35" s="25"/>
      <c r="E35" s="25"/>
      <c r="F35" s="25"/>
      <c r="G35" s="79"/>
      <c r="H35" s="98"/>
      <c r="I35" s="99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25"/>
      <c r="W35" s="108"/>
      <c r="X35" s="36"/>
      <c r="Y35" s="109"/>
      <c r="Z35" s="87"/>
      <c r="AA35" s="87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83"/>
      <c r="AN35" s="105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</row>
    <row r="36" spans="1:128" s="22" customFormat="1" ht="18.75" customHeight="1">
      <c r="A36" s="81"/>
      <c r="B36" s="25"/>
      <c r="C36" s="25"/>
      <c r="D36" s="25"/>
      <c r="E36" s="25"/>
      <c r="F36" s="25"/>
      <c r="G36" s="79"/>
      <c r="H36" s="98"/>
      <c r="I36" s="99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108"/>
      <c r="X36" s="36"/>
      <c r="Y36" s="109"/>
      <c r="Z36" s="87"/>
      <c r="AA36" s="87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83"/>
      <c r="AN36" s="105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</row>
    <row r="37" spans="1:128" s="22" customFormat="1" ht="18.75" customHeight="1">
      <c r="A37" s="81"/>
      <c r="B37" s="25"/>
      <c r="C37" s="25"/>
      <c r="D37" s="25"/>
      <c r="E37" s="25"/>
      <c r="F37" s="25"/>
      <c r="G37" s="79"/>
      <c r="H37" s="98"/>
      <c r="I37" s="99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25"/>
      <c r="W37" s="108"/>
      <c r="X37" s="36"/>
      <c r="Y37" s="109"/>
      <c r="Z37" s="87"/>
      <c r="AA37" s="87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83"/>
      <c r="AN37" s="105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</row>
    <row r="38" spans="1:128" s="22" customFormat="1" ht="18.75" customHeight="1">
      <c r="A38" s="81"/>
      <c r="B38" s="25"/>
      <c r="C38" s="25"/>
      <c r="D38" s="25"/>
      <c r="E38" s="25"/>
      <c r="F38" s="25"/>
      <c r="G38" s="79"/>
      <c r="H38" s="98"/>
      <c r="I38" s="99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25"/>
      <c r="W38" s="108"/>
      <c r="X38" s="36"/>
      <c r="Y38" s="109"/>
      <c r="Z38" s="87"/>
      <c r="AA38" s="87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83"/>
      <c r="AN38" s="105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</row>
    <row r="39" spans="1:128" s="22" customFormat="1" ht="18.75" customHeight="1">
      <c r="A39" s="81"/>
      <c r="B39" s="25"/>
      <c r="C39" s="25"/>
      <c r="D39" s="25"/>
      <c r="E39" s="25"/>
      <c r="F39" s="25"/>
      <c r="G39" s="79"/>
      <c r="H39" s="98"/>
      <c r="I39" s="99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25"/>
      <c r="W39" s="108"/>
      <c r="X39" s="36"/>
      <c r="Y39" s="109"/>
      <c r="Z39" s="87"/>
      <c r="AA39" s="87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83"/>
      <c r="AN39" s="105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</row>
    <row r="40" spans="1:128" s="22" customFormat="1" ht="18.75" customHeight="1">
      <c r="A40" s="81"/>
      <c r="B40" s="25"/>
      <c r="C40" s="25"/>
      <c r="D40" s="25"/>
      <c r="E40" s="25"/>
      <c r="F40" s="25"/>
      <c r="G40" s="79"/>
      <c r="H40" s="98"/>
      <c r="I40" s="99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25"/>
      <c r="W40" s="108"/>
      <c r="X40" s="36"/>
      <c r="Y40" s="109"/>
      <c r="Z40" s="87"/>
      <c r="AA40" s="87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83"/>
      <c r="AN40" s="105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</row>
    <row r="41" spans="1:128" s="22" customFormat="1" ht="18.75" customHeight="1">
      <c r="A41" s="81"/>
      <c r="B41" s="25"/>
      <c r="C41" s="25"/>
      <c r="D41" s="25"/>
      <c r="E41" s="25"/>
      <c r="F41" s="25"/>
      <c r="G41" s="79"/>
      <c r="H41" s="98"/>
      <c r="I41" s="99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25"/>
      <c r="W41" s="108"/>
      <c r="X41" s="36"/>
      <c r="Y41" s="109"/>
      <c r="Z41" s="87"/>
      <c r="AA41" s="87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83"/>
      <c r="AN41" s="105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</row>
    <row r="42" spans="1:128" s="22" customFormat="1" ht="18.75" customHeight="1">
      <c r="A42" s="81"/>
      <c r="B42" s="25"/>
      <c r="C42" s="25"/>
      <c r="D42" s="25"/>
      <c r="E42" s="25"/>
      <c r="F42" s="25"/>
      <c r="G42" s="79"/>
      <c r="H42" s="98"/>
      <c r="I42" s="99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25"/>
      <c r="W42" s="108"/>
      <c r="X42" s="36"/>
      <c r="Y42" s="109"/>
      <c r="Z42" s="87"/>
      <c r="AA42" s="87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83"/>
      <c r="AN42" s="105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</row>
    <row r="43" spans="1:128" s="22" customFormat="1" ht="18.75" customHeight="1">
      <c r="A43" s="82"/>
      <c r="B43" s="83"/>
      <c r="C43" s="83"/>
      <c r="D43" s="83"/>
      <c r="E43" s="25"/>
      <c r="F43" s="25"/>
      <c r="G43" s="79"/>
      <c r="H43" s="98"/>
      <c r="I43" s="99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25"/>
      <c r="W43" s="108"/>
      <c r="X43" s="114"/>
      <c r="Y43" s="109"/>
      <c r="Z43" s="87"/>
      <c r="AA43" s="87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83"/>
      <c r="AN43" s="105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</row>
    <row r="44" spans="1:128" s="22" customFormat="1" ht="18.75" customHeight="1">
      <c r="A44" s="81"/>
      <c r="B44" s="25"/>
      <c r="C44" s="25"/>
      <c r="D44" s="25"/>
      <c r="E44" s="25"/>
      <c r="F44" s="25"/>
      <c r="G44" s="79"/>
      <c r="H44" s="98"/>
      <c r="I44" s="99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25"/>
      <c r="W44" s="108"/>
      <c r="X44" s="36"/>
      <c r="Y44" s="109"/>
      <c r="Z44" s="87"/>
      <c r="AA44" s="87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83"/>
      <c r="AN44" s="105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</row>
    <row r="45" spans="1:128" s="22" customFormat="1" ht="18.75" customHeight="1">
      <c r="A45" s="81"/>
      <c r="B45" s="25"/>
      <c r="C45" s="25"/>
      <c r="D45" s="25"/>
      <c r="E45" s="25"/>
      <c r="F45" s="25"/>
      <c r="G45" s="79"/>
      <c r="H45" s="98"/>
      <c r="I45" s="99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25"/>
      <c r="W45" s="108"/>
      <c r="X45" s="36"/>
      <c r="Y45" s="109"/>
      <c r="Z45" s="87"/>
      <c r="AA45" s="87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83"/>
      <c r="AN45" s="105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</row>
    <row r="46" spans="1:128" s="22" customFormat="1" ht="18.75" customHeight="1">
      <c r="A46" s="81"/>
      <c r="B46" s="25"/>
      <c r="C46" s="25"/>
      <c r="D46" s="25"/>
      <c r="E46" s="25"/>
      <c r="F46" s="25"/>
      <c r="G46" s="79"/>
      <c r="H46" s="98"/>
      <c r="I46" s="99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25"/>
      <c r="W46" s="108"/>
      <c r="X46" s="36"/>
      <c r="Y46" s="109"/>
      <c r="Z46" s="87"/>
      <c r="AA46" s="87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83"/>
      <c r="AN46" s="105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</row>
    <row r="47" spans="1:128" s="34" customFormat="1" ht="18.75" customHeight="1">
      <c r="A47" s="81"/>
      <c r="B47" s="25"/>
      <c r="C47" s="25"/>
      <c r="D47" s="25"/>
      <c r="E47" s="25"/>
      <c r="F47" s="25"/>
      <c r="G47" s="79"/>
      <c r="H47" s="98"/>
      <c r="I47" s="99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25"/>
      <c r="W47" s="108"/>
      <c r="X47" s="36"/>
      <c r="Y47" s="106"/>
      <c r="Z47" s="87"/>
      <c r="AA47" s="87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83"/>
      <c r="AN47" s="105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</row>
    <row r="48" spans="1:128" s="22" customFormat="1" ht="18.75" customHeight="1">
      <c r="A48" s="81"/>
      <c r="B48" s="25"/>
      <c r="C48" s="25"/>
      <c r="D48" s="25"/>
      <c r="E48" s="25"/>
      <c r="F48" s="25"/>
      <c r="G48" s="79"/>
      <c r="H48" s="98"/>
      <c r="I48" s="99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25"/>
      <c r="W48" s="108"/>
      <c r="X48" s="36"/>
      <c r="Y48" s="110"/>
      <c r="Z48" s="87"/>
      <c r="AA48" s="87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83"/>
      <c r="AN48" s="105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</row>
    <row r="49" spans="1:128" s="22" customFormat="1" ht="18.75" customHeight="1">
      <c r="A49" s="81"/>
      <c r="B49" s="25"/>
      <c r="C49" s="25"/>
      <c r="D49" s="25"/>
      <c r="E49" s="25"/>
      <c r="F49" s="25"/>
      <c r="G49" s="79"/>
      <c r="H49" s="98"/>
      <c r="I49" s="99"/>
      <c r="J49" s="83"/>
      <c r="K49" s="83"/>
      <c r="L49" s="83"/>
      <c r="M49" s="83"/>
      <c r="N49" s="83"/>
      <c r="O49" s="83"/>
      <c r="P49" s="83"/>
      <c r="Q49" s="83"/>
      <c r="R49" s="83"/>
      <c r="S49" s="25"/>
      <c r="T49" s="25"/>
      <c r="U49" s="25"/>
      <c r="V49" s="25"/>
      <c r="W49" s="35"/>
      <c r="X49" s="36"/>
      <c r="Y49" s="109"/>
      <c r="Z49" s="75"/>
      <c r="AA49" s="75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25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</row>
    <row r="50" spans="1:128" s="38" customFormat="1" ht="18.75" customHeight="1">
      <c r="A50" s="81"/>
      <c r="B50" s="25"/>
      <c r="C50" s="25"/>
      <c r="D50" s="25"/>
      <c r="E50" s="25"/>
      <c r="F50" s="25"/>
      <c r="G50" s="79"/>
      <c r="H50" s="98"/>
      <c r="I50" s="99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25"/>
      <c r="W50" s="108"/>
      <c r="X50" s="36"/>
      <c r="Y50" s="109"/>
      <c r="Z50" s="87"/>
      <c r="AA50" s="87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83"/>
      <c r="AN50" s="105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</row>
    <row r="51" spans="1:128" s="22" customFormat="1" ht="18.75" customHeight="1">
      <c r="A51" s="81"/>
      <c r="B51" s="25"/>
      <c r="C51" s="25"/>
      <c r="D51" s="25"/>
      <c r="E51" s="25"/>
      <c r="F51" s="25"/>
      <c r="G51" s="79"/>
      <c r="H51" s="98"/>
      <c r="I51" s="99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25"/>
      <c r="W51" s="108"/>
      <c r="X51" s="36"/>
      <c r="Y51" s="109"/>
      <c r="Z51" s="87"/>
      <c r="AA51" s="87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83"/>
      <c r="AN51" s="105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</row>
    <row r="52" spans="1:128" s="22" customFormat="1" ht="18.75" customHeight="1">
      <c r="A52" s="81"/>
      <c r="B52" s="25"/>
      <c r="C52" s="25"/>
      <c r="D52" s="25"/>
      <c r="E52" s="25"/>
      <c r="F52" s="25"/>
      <c r="G52" s="79"/>
      <c r="H52" s="98"/>
      <c r="I52" s="99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25"/>
      <c r="W52" s="108"/>
      <c r="X52" s="36"/>
      <c r="Y52" s="109"/>
      <c r="Z52" s="87"/>
      <c r="AA52" s="87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83"/>
      <c r="AN52" s="105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</row>
    <row r="53" spans="1:128" hidden="1">
      <c r="A53" s="33" t="s">
        <v>48</v>
      </c>
      <c r="B53" s="12" t="s">
        <v>2</v>
      </c>
      <c r="C53" s="12" t="s">
        <v>4</v>
      </c>
      <c r="D53" s="12" t="s">
        <v>0</v>
      </c>
      <c r="E53" s="12" t="s">
        <v>37</v>
      </c>
      <c r="F53" s="12"/>
      <c r="G53" s="12"/>
      <c r="H53" s="49"/>
      <c r="I53" s="8"/>
      <c r="J53" s="8"/>
      <c r="K53" s="8"/>
      <c r="L53" s="8"/>
      <c r="M53" s="8"/>
      <c r="N53" s="8"/>
      <c r="O53" s="8"/>
      <c r="P53" s="8"/>
      <c r="Q53" s="8"/>
      <c r="R53" s="8"/>
      <c r="S53" s="33"/>
      <c r="T53" s="33"/>
      <c r="U53" s="33" t="s">
        <v>24</v>
      </c>
      <c r="V53" s="12" t="s">
        <v>27</v>
      </c>
      <c r="W53" s="33"/>
      <c r="X53" s="17"/>
      <c r="Y53" s="8" t="s">
        <v>19</v>
      </c>
      <c r="Z53" s="8"/>
      <c r="AA53" s="8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45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</row>
    <row r="54" spans="1:128" hidden="1">
      <c r="A54" s="23"/>
      <c r="B54" s="24"/>
      <c r="C54" s="24"/>
      <c r="D54" s="24"/>
      <c r="E54" s="2"/>
      <c r="F54" s="73"/>
      <c r="G54" s="73"/>
      <c r="H54" s="49"/>
      <c r="I54" s="10"/>
      <c r="J54" s="4"/>
      <c r="K54" s="4"/>
      <c r="L54" s="4"/>
      <c r="M54" s="4"/>
      <c r="N54" s="4"/>
      <c r="O54" s="4"/>
      <c r="P54" s="4"/>
      <c r="Q54" s="4"/>
      <c r="R54" s="4"/>
      <c r="S54" s="7"/>
      <c r="T54" s="7"/>
      <c r="U54" s="7"/>
      <c r="V54" s="11"/>
      <c r="W54" s="11"/>
      <c r="X54" s="16"/>
      <c r="Y54" s="7"/>
      <c r="Z54" s="5"/>
      <c r="AA54" s="5"/>
      <c r="AM54" s="14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18"/>
      <c r="DF54" s="18"/>
      <c r="DG54" s="18"/>
      <c r="DH54" s="18"/>
    </row>
    <row r="55" spans="1:128" hidden="1">
      <c r="A55" s="33"/>
      <c r="B55" s="12" t="s">
        <v>5</v>
      </c>
      <c r="C55" s="12" t="s">
        <v>49</v>
      </c>
      <c r="D55" s="12" t="s">
        <v>1</v>
      </c>
      <c r="E55" s="12" t="s">
        <v>37</v>
      </c>
      <c r="F55" s="12"/>
      <c r="G55" s="12"/>
      <c r="H55" s="49"/>
      <c r="I55" s="8"/>
      <c r="J55" s="8">
        <v>11</v>
      </c>
      <c r="K55" s="8">
        <v>11</v>
      </c>
      <c r="L55" s="8"/>
      <c r="M55" s="8">
        <v>11</v>
      </c>
      <c r="N55" s="8"/>
      <c r="O55" s="8"/>
      <c r="P55" s="8"/>
      <c r="Q55" s="8"/>
      <c r="R55" s="8">
        <v>11</v>
      </c>
      <c r="S55" s="8"/>
      <c r="T55" s="8"/>
      <c r="U55" s="8"/>
      <c r="V55" s="12"/>
      <c r="W55" s="8"/>
      <c r="X55" s="17"/>
      <c r="Y55" s="8"/>
      <c r="Z55" s="24"/>
      <c r="AA55" s="15">
        <f>+A55+60</f>
        <v>60</v>
      </c>
      <c r="AB55" s="39"/>
      <c r="AC55" s="39"/>
      <c r="AD55" s="39"/>
      <c r="AE55" s="39"/>
      <c r="AF55" s="39"/>
      <c r="AG55" s="40"/>
      <c r="AH55" s="39"/>
      <c r="AI55" s="39"/>
      <c r="AJ55" s="39"/>
      <c r="AK55" s="39"/>
      <c r="AL55" s="39"/>
      <c r="AM55" s="44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</row>
    <row r="56" spans="1:128">
      <c r="A56" s="66"/>
      <c r="B56" s="67"/>
      <c r="C56" s="67"/>
      <c r="D56" s="67"/>
      <c r="E56" s="25"/>
      <c r="F56" s="67"/>
      <c r="G56" s="67"/>
      <c r="H56" s="50"/>
      <c r="I56" s="10"/>
      <c r="J56" s="68"/>
      <c r="K56" s="4"/>
      <c r="L56" s="4"/>
      <c r="M56" s="4"/>
      <c r="N56" s="4"/>
      <c r="O56" s="4"/>
      <c r="P56" s="4"/>
      <c r="Q56" s="4"/>
      <c r="R56" s="4"/>
      <c r="S56" s="7"/>
      <c r="T56" s="7"/>
      <c r="U56" s="7"/>
      <c r="V56" s="11"/>
      <c r="W56" s="11"/>
      <c r="X56" s="16"/>
      <c r="Y56" s="7"/>
      <c r="Z56" s="5"/>
      <c r="AA56" s="67"/>
    </row>
    <row r="57" spans="1:128">
      <c r="A57" s="66"/>
      <c r="B57" s="67"/>
      <c r="C57" s="67"/>
      <c r="D57" s="67"/>
      <c r="E57" s="25"/>
      <c r="F57" s="67"/>
      <c r="G57" s="67"/>
      <c r="H57" s="50"/>
      <c r="I57" s="10"/>
      <c r="J57" s="68"/>
      <c r="K57" s="4"/>
      <c r="L57" s="4"/>
      <c r="M57" s="4"/>
      <c r="N57" s="4"/>
      <c r="O57" s="4"/>
      <c r="P57" s="4"/>
      <c r="Q57" s="4"/>
      <c r="R57" s="4"/>
      <c r="S57" s="7"/>
      <c r="T57" s="7"/>
      <c r="U57" s="7"/>
      <c r="V57" s="11"/>
      <c r="W57" s="11"/>
      <c r="X57" s="16"/>
      <c r="Y57" s="7"/>
      <c r="Z57" s="5"/>
      <c r="AA57" s="67"/>
    </row>
    <row r="58" spans="1:128">
      <c r="A58" s="66"/>
      <c r="B58" s="67"/>
      <c r="C58" s="67"/>
      <c r="D58" s="67"/>
      <c r="E58" s="25"/>
      <c r="F58" s="67"/>
      <c r="G58" s="67"/>
      <c r="H58" s="50"/>
      <c r="I58" s="10"/>
      <c r="J58" s="68"/>
      <c r="K58" s="4"/>
      <c r="L58" s="4"/>
      <c r="M58" s="4"/>
      <c r="N58" s="4"/>
      <c r="O58" s="4"/>
      <c r="P58" s="4"/>
      <c r="Q58" s="4"/>
      <c r="R58" s="4"/>
      <c r="S58" s="7"/>
      <c r="T58" s="7"/>
      <c r="U58" s="7"/>
      <c r="V58" s="11"/>
      <c r="W58" s="11"/>
      <c r="X58" s="16"/>
      <c r="Y58" s="7"/>
      <c r="Z58" s="5"/>
      <c r="AA58" s="67"/>
    </row>
    <row r="59" spans="1:128">
      <c r="A59" s="66"/>
      <c r="B59" s="67"/>
      <c r="C59" s="67"/>
      <c r="D59" s="67"/>
      <c r="E59" s="25"/>
      <c r="F59" s="67"/>
      <c r="G59" s="67"/>
      <c r="H59" s="50"/>
      <c r="I59" s="10"/>
      <c r="J59" s="68"/>
      <c r="K59" s="4"/>
      <c r="L59" s="4"/>
      <c r="M59" s="4"/>
      <c r="N59" s="4"/>
      <c r="O59" s="4"/>
      <c r="P59" s="4"/>
      <c r="Q59" s="4"/>
      <c r="R59" s="4"/>
      <c r="S59" s="7"/>
      <c r="T59" s="7"/>
      <c r="U59" s="7"/>
      <c r="V59" s="11"/>
      <c r="W59" s="11"/>
      <c r="X59" s="16"/>
      <c r="Y59" s="7"/>
      <c r="Z59" s="5"/>
      <c r="AA59" s="67"/>
    </row>
    <row r="60" spans="1:128">
      <c r="A60" s="66"/>
      <c r="B60" s="67"/>
      <c r="C60" s="67"/>
      <c r="D60" s="67"/>
      <c r="E60" s="25"/>
      <c r="F60" s="67"/>
      <c r="G60" s="67"/>
      <c r="H60" s="50"/>
      <c r="I60" s="10"/>
      <c r="J60" s="68"/>
      <c r="K60" s="4"/>
      <c r="L60" s="4"/>
      <c r="M60" s="4"/>
      <c r="N60" s="4"/>
      <c r="O60" s="4"/>
      <c r="P60" s="4"/>
      <c r="Q60" s="4"/>
      <c r="R60" s="4"/>
      <c r="S60" s="7"/>
      <c r="T60" s="7"/>
      <c r="U60" s="7"/>
      <c r="V60" s="11"/>
      <c r="W60" s="11"/>
      <c r="X60" s="16"/>
      <c r="Y60" s="7"/>
      <c r="Z60" s="5"/>
      <c r="AA60" s="67"/>
    </row>
    <row r="61" spans="1:128">
      <c r="A61" s="66"/>
      <c r="B61" s="67"/>
      <c r="C61" s="67"/>
      <c r="D61" s="67"/>
      <c r="E61" s="25"/>
      <c r="F61" s="67"/>
      <c r="G61" s="67"/>
      <c r="H61" s="50"/>
      <c r="I61" s="10"/>
      <c r="J61" s="68"/>
      <c r="K61" s="4"/>
      <c r="L61" s="4"/>
      <c r="M61" s="4"/>
      <c r="N61" s="4"/>
      <c r="O61" s="4"/>
      <c r="P61" s="4"/>
      <c r="Q61" s="4"/>
      <c r="R61" s="4"/>
      <c r="S61" s="7"/>
      <c r="T61" s="7"/>
      <c r="U61" s="7"/>
      <c r="V61" s="11"/>
      <c r="W61" s="11"/>
      <c r="X61" s="16"/>
      <c r="Y61" s="7"/>
      <c r="Z61" s="5"/>
      <c r="AA61" s="67"/>
    </row>
    <row r="62" spans="1:128">
      <c r="A62" s="66"/>
      <c r="B62" s="67"/>
      <c r="C62" s="67"/>
      <c r="D62" s="67"/>
      <c r="E62" s="25"/>
      <c r="F62" s="67"/>
      <c r="G62" s="67"/>
      <c r="H62" s="50"/>
      <c r="I62" s="10"/>
      <c r="J62" s="68"/>
      <c r="K62" s="4"/>
      <c r="L62" s="4"/>
      <c r="M62" s="4"/>
      <c r="N62" s="4"/>
      <c r="O62" s="4"/>
      <c r="P62" s="4"/>
      <c r="Q62" s="4"/>
      <c r="R62" s="4"/>
      <c r="S62" s="7"/>
      <c r="T62" s="7"/>
      <c r="U62" s="7"/>
      <c r="V62" s="11"/>
      <c r="W62" s="11"/>
      <c r="X62" s="16"/>
      <c r="Y62" s="7"/>
      <c r="Z62" s="5"/>
      <c r="AA62" s="67"/>
    </row>
    <row r="63" spans="1:128">
      <c r="A63" s="66"/>
      <c r="B63" s="67"/>
      <c r="C63" s="67"/>
      <c r="D63" s="67"/>
      <c r="E63" s="25"/>
      <c r="F63" s="67"/>
      <c r="G63" s="67"/>
      <c r="H63" s="50"/>
      <c r="I63" s="10"/>
      <c r="J63" s="68"/>
      <c r="K63" s="4"/>
      <c r="L63" s="4"/>
      <c r="M63" s="4"/>
      <c r="N63" s="4"/>
      <c r="O63" s="4"/>
      <c r="P63" s="4"/>
      <c r="Q63" s="4"/>
      <c r="R63" s="4"/>
      <c r="S63" s="7"/>
      <c r="T63" s="7"/>
      <c r="U63" s="7"/>
      <c r="V63" s="11"/>
      <c r="W63" s="11"/>
      <c r="X63" s="16"/>
      <c r="Y63" s="7"/>
      <c r="Z63" s="5"/>
      <c r="AA63" s="67"/>
    </row>
    <row r="64" spans="1:128">
      <c r="A64" s="66"/>
      <c r="B64" s="67"/>
      <c r="C64" s="67"/>
      <c r="D64" s="67"/>
      <c r="E64" s="25"/>
      <c r="F64" s="67"/>
      <c r="G64" s="67"/>
      <c r="H64" s="50"/>
      <c r="I64" s="10"/>
      <c r="J64" s="68"/>
      <c r="K64" s="4"/>
      <c r="L64" s="4"/>
      <c r="M64" s="4"/>
      <c r="N64" s="4"/>
      <c r="O64" s="4"/>
      <c r="P64" s="4"/>
      <c r="Q64" s="4"/>
      <c r="R64" s="4"/>
      <c r="S64" s="7"/>
      <c r="T64" s="7"/>
      <c r="U64" s="7"/>
      <c r="V64" s="11"/>
      <c r="W64" s="11"/>
      <c r="X64" s="16"/>
      <c r="Y64" s="7"/>
      <c r="Z64" s="5"/>
      <c r="AA64" s="67"/>
    </row>
    <row r="65" spans="1:27">
      <c r="A65" s="66"/>
      <c r="B65" s="67"/>
      <c r="C65" s="67"/>
      <c r="D65" s="67"/>
      <c r="E65" s="25"/>
      <c r="F65" s="67"/>
      <c r="G65" s="67"/>
      <c r="H65" s="50"/>
      <c r="I65" s="10"/>
      <c r="J65" s="68"/>
      <c r="K65" s="4"/>
      <c r="L65" s="4"/>
      <c r="M65" s="4"/>
      <c r="N65" s="4"/>
      <c r="O65" s="4"/>
      <c r="P65" s="4"/>
      <c r="Q65" s="4"/>
      <c r="R65" s="4"/>
      <c r="S65" s="7"/>
      <c r="T65" s="7"/>
      <c r="U65" s="7"/>
      <c r="V65" s="11"/>
      <c r="W65" s="11"/>
      <c r="X65" s="16"/>
      <c r="Y65" s="7"/>
      <c r="Z65" s="5"/>
      <c r="AA65" s="67"/>
    </row>
    <row r="66" spans="1:27">
      <c r="A66" s="66"/>
      <c r="B66" s="67"/>
      <c r="C66" s="67"/>
      <c r="D66" s="67"/>
      <c r="E66" s="25"/>
      <c r="F66" s="67"/>
      <c r="G66" s="67"/>
      <c r="H66" s="50"/>
      <c r="I66" s="10"/>
      <c r="J66" s="68"/>
      <c r="K66" s="4"/>
      <c r="L66" s="4"/>
      <c r="M66" s="4"/>
      <c r="N66" s="4"/>
      <c r="O66" s="4"/>
      <c r="P66" s="4"/>
      <c r="Q66" s="4"/>
      <c r="R66" s="4"/>
      <c r="S66" s="7"/>
      <c r="T66" s="7"/>
      <c r="U66" s="7"/>
      <c r="V66" s="11"/>
      <c r="W66" s="11"/>
      <c r="X66" s="16"/>
      <c r="Y66" s="7"/>
      <c r="Z66" s="5"/>
      <c r="AA66" s="67"/>
    </row>
    <row r="67" spans="1:27">
      <c r="A67" s="66"/>
      <c r="B67" s="67"/>
      <c r="C67" s="67"/>
      <c r="D67" s="67"/>
      <c r="E67" s="25"/>
      <c r="F67" s="67"/>
      <c r="G67" s="67"/>
      <c r="H67" s="50"/>
      <c r="I67" s="10"/>
      <c r="J67" s="68"/>
      <c r="K67" s="4"/>
      <c r="L67" s="4"/>
      <c r="M67" s="4"/>
      <c r="N67" s="4"/>
      <c r="O67" s="4"/>
      <c r="P67" s="4"/>
      <c r="Q67" s="4"/>
      <c r="R67" s="4"/>
      <c r="S67" s="7"/>
      <c r="T67" s="7"/>
      <c r="U67" s="7"/>
      <c r="V67" s="11"/>
      <c r="W67" s="11"/>
      <c r="X67" s="16"/>
      <c r="Y67" s="7"/>
      <c r="Z67" s="5"/>
      <c r="AA67" s="67"/>
    </row>
    <row r="68" spans="1:27">
      <c r="A68" s="66"/>
      <c r="B68" s="67"/>
      <c r="C68" s="67"/>
      <c r="D68" s="67"/>
      <c r="E68" s="25"/>
      <c r="F68" s="67"/>
      <c r="G68" s="67"/>
      <c r="H68" s="50"/>
      <c r="I68" s="10"/>
      <c r="J68" s="68"/>
      <c r="K68" s="4"/>
      <c r="L68" s="4"/>
      <c r="M68" s="4"/>
      <c r="N68" s="4"/>
      <c r="O68" s="4"/>
      <c r="P68" s="4"/>
      <c r="Q68" s="4"/>
      <c r="R68" s="4"/>
      <c r="S68" s="7"/>
      <c r="T68" s="7"/>
      <c r="U68" s="7"/>
      <c r="V68" s="11"/>
      <c r="W68" s="11"/>
      <c r="X68" s="16"/>
      <c r="Y68" s="7"/>
      <c r="Z68" s="5"/>
      <c r="AA68" s="67"/>
    </row>
    <row r="69" spans="1:27">
      <c r="A69" s="66"/>
      <c r="B69" s="67"/>
      <c r="C69" s="67"/>
      <c r="D69" s="67"/>
      <c r="E69" s="25"/>
      <c r="F69" s="67"/>
      <c r="G69" s="67"/>
      <c r="H69" s="50"/>
      <c r="I69" s="10"/>
      <c r="J69" s="68"/>
      <c r="K69" s="4"/>
      <c r="L69" s="4"/>
      <c r="M69" s="4"/>
      <c r="N69" s="4"/>
      <c r="O69" s="4"/>
      <c r="P69" s="4"/>
      <c r="Q69" s="4"/>
      <c r="R69" s="4"/>
      <c r="S69" s="7"/>
      <c r="T69" s="7"/>
      <c r="U69" s="7"/>
      <c r="V69" s="11"/>
      <c r="W69" s="11"/>
      <c r="X69" s="16"/>
      <c r="Y69" s="7"/>
      <c r="Z69" s="5"/>
      <c r="AA69" s="67"/>
    </row>
    <row r="70" spans="1:27">
      <c r="A70" s="66"/>
      <c r="B70" s="67"/>
      <c r="C70" s="67"/>
      <c r="D70" s="67"/>
      <c r="E70" s="25"/>
      <c r="F70" s="67"/>
      <c r="G70" s="67"/>
      <c r="H70" s="50"/>
      <c r="I70" s="10"/>
      <c r="J70" s="68"/>
      <c r="K70" s="4"/>
      <c r="L70" s="4"/>
      <c r="M70" s="4"/>
      <c r="N70" s="4"/>
      <c r="O70" s="4"/>
      <c r="P70" s="4"/>
      <c r="Q70" s="4"/>
      <c r="R70" s="4"/>
      <c r="S70" s="7"/>
      <c r="T70" s="7"/>
      <c r="U70" s="7"/>
      <c r="V70" s="11"/>
      <c r="W70" s="11"/>
      <c r="X70" s="16"/>
      <c r="Y70" s="7"/>
      <c r="Z70" s="5"/>
      <c r="AA70" s="67"/>
    </row>
    <row r="71" spans="1:27">
      <c r="A71" s="66"/>
      <c r="B71" s="67"/>
      <c r="C71" s="67"/>
      <c r="D71" s="67"/>
      <c r="E71" s="25"/>
      <c r="F71" s="67"/>
      <c r="G71" s="67"/>
      <c r="H71" s="50"/>
      <c r="I71" s="10"/>
      <c r="J71" s="68"/>
      <c r="K71" s="4"/>
      <c r="L71" s="4"/>
      <c r="M71" s="4"/>
      <c r="N71" s="4"/>
      <c r="O71" s="4"/>
      <c r="P71" s="4"/>
      <c r="Q71" s="4"/>
      <c r="R71" s="4"/>
      <c r="S71" s="7"/>
      <c r="T71" s="7"/>
      <c r="U71" s="7"/>
      <c r="V71" s="11"/>
      <c r="W71" s="11"/>
      <c r="X71" s="16"/>
      <c r="Y71" s="7"/>
      <c r="Z71" s="5"/>
      <c r="AA71" s="67"/>
    </row>
    <row r="72" spans="1:27">
      <c r="A72" s="66"/>
      <c r="B72" s="67"/>
      <c r="C72" s="67"/>
      <c r="D72" s="67"/>
      <c r="E72" s="25"/>
      <c r="F72" s="67"/>
      <c r="G72" s="67"/>
      <c r="H72" s="50"/>
      <c r="I72" s="10"/>
      <c r="J72" s="68"/>
      <c r="K72" s="4"/>
      <c r="L72" s="4"/>
      <c r="M72" s="4"/>
      <c r="N72" s="4"/>
      <c r="O72" s="4"/>
      <c r="P72" s="4"/>
      <c r="Q72" s="4"/>
      <c r="R72" s="4"/>
      <c r="S72" s="7"/>
      <c r="T72" s="7"/>
      <c r="U72" s="7"/>
      <c r="V72" s="11"/>
      <c r="W72" s="11"/>
      <c r="X72" s="16"/>
      <c r="Y72" s="7"/>
      <c r="Z72" s="5"/>
      <c r="AA72" s="67"/>
    </row>
    <row r="73" spans="1:27">
      <c r="A73" s="66"/>
      <c r="B73" s="67"/>
      <c r="C73" s="67"/>
      <c r="D73" s="67"/>
      <c r="E73" s="25"/>
      <c r="F73" s="67"/>
      <c r="G73" s="67"/>
      <c r="H73" s="50"/>
      <c r="I73" s="10"/>
      <c r="J73" s="68"/>
      <c r="K73" s="4"/>
      <c r="L73" s="4"/>
      <c r="M73" s="4"/>
      <c r="N73" s="4"/>
      <c r="O73" s="4"/>
      <c r="P73" s="4"/>
      <c r="Q73" s="4"/>
      <c r="R73" s="4"/>
      <c r="S73" s="7"/>
      <c r="T73" s="7"/>
      <c r="U73" s="7"/>
      <c r="V73" s="11"/>
      <c r="W73" s="11"/>
      <c r="X73" s="16"/>
      <c r="Y73" s="7"/>
      <c r="Z73" s="5"/>
      <c r="AA73" s="67"/>
    </row>
    <row r="74" spans="1:27">
      <c r="A74" s="66"/>
      <c r="B74" s="67"/>
      <c r="C74" s="67"/>
      <c r="D74" s="67"/>
      <c r="E74" s="25"/>
      <c r="F74" s="67"/>
      <c r="G74" s="67"/>
      <c r="H74" s="50"/>
      <c r="I74" s="10"/>
      <c r="J74" s="68"/>
      <c r="K74" s="4"/>
      <c r="L74" s="4"/>
      <c r="M74" s="4"/>
      <c r="N74" s="4"/>
      <c r="O74" s="4"/>
      <c r="P74" s="4"/>
      <c r="Q74" s="4"/>
      <c r="R74" s="4"/>
      <c r="S74" s="7"/>
      <c r="T74" s="7"/>
      <c r="U74" s="7"/>
      <c r="V74" s="11"/>
      <c r="W74" s="11"/>
      <c r="X74" s="16"/>
      <c r="Y74" s="7"/>
      <c r="Z74" s="5"/>
      <c r="AA74" s="67"/>
    </row>
    <row r="75" spans="1:27">
      <c r="A75" s="66"/>
      <c r="B75" s="67"/>
      <c r="C75" s="67"/>
      <c r="D75" s="67"/>
      <c r="E75" s="25"/>
      <c r="F75" s="67"/>
      <c r="G75" s="67"/>
      <c r="H75" s="50"/>
      <c r="I75" s="10"/>
      <c r="J75" s="68"/>
      <c r="K75" s="4"/>
      <c r="L75" s="4"/>
      <c r="M75" s="4"/>
      <c r="N75" s="4"/>
      <c r="O75" s="4"/>
      <c r="P75" s="4"/>
      <c r="Q75" s="4"/>
      <c r="R75" s="4"/>
      <c r="S75" s="7"/>
      <c r="T75" s="7"/>
      <c r="U75" s="7"/>
      <c r="V75" s="11"/>
      <c r="W75" s="11"/>
      <c r="X75" s="16"/>
      <c r="Y75" s="7"/>
      <c r="Z75" s="5"/>
      <c r="AA75" s="67"/>
    </row>
    <row r="76" spans="1:27">
      <c r="A76" s="66"/>
      <c r="B76" s="67"/>
      <c r="C76" s="67"/>
      <c r="D76" s="67"/>
      <c r="E76" s="25"/>
      <c r="F76" s="67"/>
      <c r="G76" s="67"/>
      <c r="H76" s="50"/>
      <c r="I76" s="10"/>
      <c r="J76" s="68"/>
      <c r="K76" s="4"/>
      <c r="L76" s="4"/>
      <c r="M76" s="4"/>
      <c r="N76" s="4"/>
      <c r="O76" s="4"/>
      <c r="P76" s="4"/>
      <c r="Q76" s="4"/>
      <c r="R76" s="4"/>
      <c r="S76" s="7"/>
      <c r="T76" s="7"/>
      <c r="U76" s="7"/>
      <c r="V76" s="11"/>
      <c r="W76" s="11"/>
      <c r="X76" s="16"/>
      <c r="Y76" s="7"/>
      <c r="Z76" s="5"/>
      <c r="AA76" s="67"/>
    </row>
    <row r="77" spans="1:27">
      <c r="A77" s="66"/>
      <c r="B77" s="67"/>
      <c r="C77" s="67"/>
      <c r="D77" s="67"/>
      <c r="E77" s="25"/>
      <c r="F77" s="67"/>
      <c r="G77" s="67"/>
      <c r="H77" s="50"/>
      <c r="I77" s="10"/>
      <c r="J77" s="68"/>
      <c r="K77" s="4"/>
      <c r="L77" s="4"/>
      <c r="M77" s="4"/>
      <c r="N77" s="4"/>
      <c r="O77" s="4"/>
      <c r="P77" s="4"/>
      <c r="Q77" s="4"/>
      <c r="R77" s="4"/>
      <c r="S77" s="7"/>
      <c r="T77" s="7"/>
      <c r="U77" s="7"/>
      <c r="V77" s="11"/>
      <c r="W77" s="11"/>
      <c r="X77" s="16"/>
      <c r="Y77" s="7"/>
      <c r="Z77" s="5"/>
      <c r="AA77" s="67"/>
    </row>
    <row r="78" spans="1:27">
      <c r="A78" s="66"/>
      <c r="B78" s="67"/>
      <c r="C78" s="67"/>
      <c r="D78" s="67"/>
      <c r="E78" s="25"/>
      <c r="F78" s="67"/>
      <c r="G78" s="67"/>
      <c r="H78" s="50"/>
      <c r="I78" s="10"/>
      <c r="J78" s="68"/>
      <c r="K78" s="4"/>
      <c r="L78" s="4"/>
      <c r="M78" s="4"/>
      <c r="N78" s="4"/>
      <c r="O78" s="4"/>
      <c r="P78" s="4"/>
      <c r="Q78" s="4"/>
      <c r="R78" s="4"/>
      <c r="S78" s="7"/>
      <c r="T78" s="7"/>
      <c r="U78" s="7"/>
      <c r="V78" s="11"/>
      <c r="W78" s="11"/>
      <c r="X78" s="16"/>
      <c r="Y78" s="7"/>
      <c r="Z78" s="5"/>
      <c r="AA78" s="67"/>
    </row>
    <row r="79" spans="1:27">
      <c r="A79" s="66"/>
      <c r="B79" s="67"/>
      <c r="C79" s="67"/>
      <c r="D79" s="67"/>
      <c r="E79" s="25"/>
      <c r="F79" s="67"/>
      <c r="G79" s="67"/>
      <c r="H79" s="50"/>
      <c r="I79" s="10"/>
      <c r="J79" s="68"/>
      <c r="K79" s="4"/>
      <c r="L79" s="4"/>
      <c r="M79" s="4"/>
      <c r="N79" s="4"/>
      <c r="O79" s="4"/>
      <c r="P79" s="4"/>
      <c r="Q79" s="4"/>
      <c r="R79" s="4"/>
      <c r="S79" s="7"/>
      <c r="T79" s="7"/>
      <c r="U79" s="7"/>
      <c r="V79" s="11"/>
      <c r="W79" s="11"/>
      <c r="X79" s="16"/>
      <c r="Y79" s="7"/>
      <c r="Z79" s="5"/>
      <c r="AA79" s="67"/>
    </row>
    <row r="80" spans="1:27">
      <c r="A80" s="66"/>
      <c r="B80" s="67"/>
      <c r="C80" s="67"/>
      <c r="D80" s="67"/>
      <c r="E80" s="25"/>
      <c r="F80" s="67"/>
      <c r="G80" s="67"/>
      <c r="H80" s="50"/>
      <c r="I80" s="10"/>
      <c r="J80" s="68"/>
      <c r="K80" s="4"/>
      <c r="L80" s="4"/>
      <c r="M80" s="4"/>
      <c r="N80" s="4"/>
      <c r="O80" s="4"/>
      <c r="P80" s="4"/>
      <c r="Q80" s="4"/>
      <c r="R80" s="4"/>
      <c r="S80" s="7"/>
      <c r="T80" s="7"/>
      <c r="U80" s="7"/>
      <c r="V80" s="11"/>
      <c r="W80" s="11"/>
      <c r="X80" s="16"/>
      <c r="Y80" s="7"/>
      <c r="Z80" s="5"/>
      <c r="AA80" s="67"/>
    </row>
    <row r="81" spans="1:27">
      <c r="A81" s="66"/>
      <c r="B81" s="67"/>
      <c r="C81" s="67"/>
      <c r="D81" s="67"/>
      <c r="E81" s="25"/>
      <c r="F81" s="67"/>
      <c r="G81" s="67"/>
      <c r="H81" s="50"/>
      <c r="I81" s="10"/>
      <c r="J81" s="68"/>
      <c r="K81" s="4"/>
      <c r="L81" s="4"/>
      <c r="M81" s="4"/>
      <c r="N81" s="4"/>
      <c r="O81" s="4"/>
      <c r="P81" s="4"/>
      <c r="Q81" s="4"/>
      <c r="R81" s="4"/>
      <c r="S81" s="7"/>
      <c r="T81" s="7"/>
      <c r="U81" s="7"/>
      <c r="V81" s="11"/>
      <c r="W81" s="11"/>
      <c r="X81" s="16"/>
      <c r="Y81" s="7"/>
      <c r="Z81" s="5"/>
      <c r="AA81" s="67"/>
    </row>
    <row r="82" spans="1:27">
      <c r="A82" s="66"/>
      <c r="B82" s="67"/>
      <c r="C82" s="67"/>
      <c r="D82" s="67"/>
      <c r="E82" s="25"/>
      <c r="F82" s="67"/>
      <c r="G82" s="67"/>
      <c r="H82" s="50"/>
      <c r="I82" s="10"/>
      <c r="J82" s="68"/>
      <c r="K82" s="4"/>
      <c r="L82" s="4"/>
      <c r="M82" s="4"/>
      <c r="N82" s="4"/>
      <c r="O82" s="4"/>
      <c r="P82" s="4"/>
      <c r="Q82" s="4"/>
      <c r="R82" s="4"/>
      <c r="S82" s="7"/>
      <c r="T82" s="7"/>
      <c r="U82" s="7"/>
      <c r="V82" s="11"/>
      <c r="W82" s="11"/>
      <c r="X82" s="16"/>
      <c r="Y82" s="7"/>
      <c r="Z82" s="5"/>
      <c r="AA82" s="67"/>
    </row>
    <row r="83" spans="1:27">
      <c r="A83" s="66"/>
      <c r="B83" s="67"/>
      <c r="C83" s="67"/>
      <c r="D83" s="67"/>
      <c r="E83" s="25"/>
      <c r="F83" s="67"/>
      <c r="G83" s="67"/>
      <c r="H83" s="50"/>
      <c r="I83" s="10"/>
      <c r="J83" s="68"/>
      <c r="K83" s="4"/>
      <c r="L83" s="4"/>
      <c r="M83" s="4"/>
      <c r="N83" s="4"/>
      <c r="O83" s="4"/>
      <c r="P83" s="4"/>
      <c r="Q83" s="4"/>
      <c r="R83" s="4"/>
      <c r="S83" s="7"/>
      <c r="T83" s="7"/>
      <c r="U83" s="7"/>
      <c r="V83" s="11"/>
      <c r="W83" s="11"/>
      <c r="X83" s="16"/>
      <c r="Y83" s="7"/>
      <c r="Z83" s="5"/>
      <c r="AA83" s="67"/>
    </row>
    <row r="84" spans="1:27">
      <c r="A84" s="66"/>
      <c r="B84" s="67"/>
      <c r="C84" s="67"/>
      <c r="D84" s="67"/>
      <c r="E84" s="25"/>
      <c r="F84" s="67"/>
      <c r="G84" s="67"/>
      <c r="H84" s="50"/>
      <c r="I84" s="10"/>
      <c r="J84" s="68"/>
      <c r="K84" s="4"/>
      <c r="L84" s="4"/>
      <c r="M84" s="4"/>
      <c r="N84" s="4"/>
      <c r="O84" s="4"/>
      <c r="P84" s="4"/>
      <c r="Q84" s="4"/>
      <c r="R84" s="4"/>
      <c r="S84" s="7"/>
      <c r="T84" s="7"/>
      <c r="U84" s="7"/>
      <c r="V84" s="11"/>
      <c r="W84" s="11"/>
      <c r="X84" s="16"/>
      <c r="Y84" s="7"/>
      <c r="Z84" s="5"/>
      <c r="AA84" s="67"/>
    </row>
    <row r="85" spans="1:27">
      <c r="A85" s="66"/>
      <c r="B85" s="67"/>
      <c r="C85" s="67"/>
      <c r="D85" s="67"/>
      <c r="E85" s="25"/>
      <c r="F85" s="67"/>
      <c r="G85" s="67"/>
      <c r="H85" s="50"/>
      <c r="I85" s="10"/>
      <c r="J85" s="68"/>
      <c r="K85" s="4"/>
      <c r="L85" s="4"/>
      <c r="M85" s="4"/>
      <c r="N85" s="4"/>
      <c r="O85" s="4"/>
      <c r="P85" s="4"/>
      <c r="Q85" s="4"/>
      <c r="R85" s="4"/>
      <c r="S85" s="7"/>
      <c r="T85" s="7"/>
      <c r="U85" s="7"/>
      <c r="V85" s="11"/>
      <c r="W85" s="11"/>
      <c r="X85" s="16"/>
      <c r="Y85" s="7"/>
      <c r="Z85" s="5"/>
      <c r="AA85" s="67"/>
    </row>
    <row r="86" spans="1:27">
      <c r="A86" s="66"/>
      <c r="B86" s="67"/>
      <c r="C86" s="67"/>
      <c r="D86" s="67"/>
      <c r="E86" s="25"/>
      <c r="F86" s="67"/>
      <c r="G86" s="67"/>
      <c r="H86" s="50"/>
      <c r="I86" s="10"/>
      <c r="J86" s="68"/>
      <c r="K86" s="4"/>
      <c r="L86" s="4"/>
      <c r="M86" s="4"/>
      <c r="N86" s="4"/>
      <c r="O86" s="4"/>
      <c r="P86" s="4"/>
      <c r="Q86" s="4"/>
      <c r="R86" s="4"/>
      <c r="S86" s="7"/>
      <c r="T86" s="7"/>
      <c r="U86" s="7"/>
      <c r="V86" s="11"/>
      <c r="W86" s="11"/>
      <c r="X86" s="16"/>
      <c r="Y86" s="7"/>
      <c r="Z86" s="5"/>
      <c r="AA86" s="67"/>
    </row>
    <row r="87" spans="1:27">
      <c r="A87" s="66"/>
      <c r="B87" s="67"/>
      <c r="C87" s="67"/>
      <c r="D87" s="67"/>
      <c r="E87" s="25"/>
      <c r="F87" s="67"/>
      <c r="G87" s="67"/>
      <c r="H87" s="50"/>
      <c r="I87" s="10"/>
      <c r="J87" s="68"/>
      <c r="K87" s="4"/>
      <c r="L87" s="4"/>
      <c r="M87" s="4"/>
      <c r="N87" s="4"/>
      <c r="O87" s="4"/>
      <c r="P87" s="4"/>
      <c r="Q87" s="4"/>
      <c r="R87" s="4"/>
      <c r="S87" s="7"/>
      <c r="T87" s="7"/>
      <c r="U87" s="7"/>
      <c r="V87" s="11"/>
      <c r="W87" s="11"/>
      <c r="X87" s="16"/>
      <c r="Y87" s="7"/>
      <c r="Z87" s="5"/>
      <c r="AA87" s="67"/>
    </row>
    <row r="88" spans="1:27">
      <c r="A88" s="66"/>
      <c r="B88" s="67"/>
      <c r="C88" s="67"/>
      <c r="D88" s="67"/>
      <c r="E88" s="25"/>
      <c r="F88" s="67"/>
      <c r="G88" s="67"/>
      <c r="H88" s="50"/>
      <c r="I88" s="10"/>
      <c r="J88" s="68"/>
      <c r="K88" s="4"/>
      <c r="L88" s="4"/>
      <c r="M88" s="4"/>
      <c r="N88" s="4"/>
      <c r="O88" s="4"/>
      <c r="P88" s="4"/>
      <c r="Q88" s="4"/>
      <c r="R88" s="4"/>
      <c r="S88" s="7"/>
      <c r="T88" s="7"/>
      <c r="U88" s="7"/>
      <c r="V88" s="11"/>
      <c r="W88" s="11"/>
      <c r="X88" s="16"/>
      <c r="Y88" s="7"/>
      <c r="Z88" s="5"/>
      <c r="AA88" s="67"/>
    </row>
    <row r="89" spans="1:27">
      <c r="A89" s="66"/>
      <c r="B89" s="67"/>
      <c r="C89" s="67"/>
      <c r="D89" s="67"/>
      <c r="E89" s="25"/>
      <c r="F89" s="67"/>
      <c r="G89" s="67"/>
      <c r="H89" s="50"/>
      <c r="I89" s="10"/>
      <c r="J89" s="68"/>
      <c r="K89" s="4"/>
      <c r="L89" s="4"/>
      <c r="M89" s="4"/>
      <c r="N89" s="4"/>
      <c r="O89" s="4"/>
      <c r="P89" s="4"/>
      <c r="Q89" s="4"/>
      <c r="R89" s="4"/>
      <c r="S89" s="7"/>
      <c r="T89" s="7"/>
      <c r="U89" s="7"/>
      <c r="V89" s="11"/>
      <c r="W89" s="11"/>
      <c r="X89" s="16"/>
      <c r="Y89" s="7"/>
      <c r="Z89" s="5"/>
      <c r="AA89" s="67"/>
    </row>
    <row r="90" spans="1:27">
      <c r="A90" s="66"/>
      <c r="B90" s="67"/>
      <c r="C90" s="67"/>
      <c r="D90" s="67"/>
      <c r="E90" s="25"/>
      <c r="F90" s="67"/>
      <c r="G90" s="67"/>
      <c r="H90" s="50"/>
      <c r="I90" s="10"/>
      <c r="J90" s="68"/>
      <c r="K90" s="4"/>
      <c r="L90" s="4"/>
      <c r="M90" s="4"/>
      <c r="N90" s="4"/>
      <c r="O90" s="4"/>
      <c r="P90" s="4"/>
      <c r="Q90" s="4"/>
      <c r="R90" s="4"/>
      <c r="S90" s="7"/>
      <c r="T90" s="7"/>
      <c r="U90" s="7"/>
      <c r="V90" s="11"/>
      <c r="W90" s="11"/>
      <c r="X90" s="16"/>
      <c r="Y90" s="7"/>
      <c r="Z90" s="5"/>
      <c r="AA90" s="67"/>
    </row>
    <row r="91" spans="1:27">
      <c r="A91" s="66"/>
      <c r="B91" s="67"/>
      <c r="C91" s="67"/>
      <c r="D91" s="67"/>
      <c r="E91" s="25"/>
      <c r="F91" s="67"/>
      <c r="G91" s="67"/>
      <c r="H91" s="50"/>
      <c r="I91" s="10"/>
      <c r="J91" s="68"/>
      <c r="K91" s="4"/>
      <c r="L91" s="4"/>
      <c r="M91" s="4"/>
      <c r="N91" s="4"/>
      <c r="O91" s="4"/>
      <c r="P91" s="4"/>
      <c r="Q91" s="4"/>
      <c r="R91" s="4"/>
      <c r="S91" s="7"/>
      <c r="T91" s="7"/>
      <c r="U91" s="7"/>
      <c r="V91" s="11"/>
      <c r="W91" s="11"/>
      <c r="X91" s="16"/>
      <c r="Y91" s="7"/>
      <c r="Z91" s="5"/>
      <c r="AA91" s="67"/>
    </row>
    <row r="92" spans="1:27">
      <c r="A92" s="66"/>
      <c r="B92" s="67"/>
      <c r="C92" s="67"/>
      <c r="D92" s="67"/>
      <c r="E92" s="25"/>
      <c r="F92" s="67"/>
      <c r="G92" s="67"/>
      <c r="H92" s="50"/>
      <c r="I92" s="10"/>
      <c r="J92" s="68"/>
      <c r="K92" s="4"/>
      <c r="L92" s="4"/>
      <c r="M92" s="4"/>
      <c r="N92" s="4"/>
      <c r="O92" s="4"/>
      <c r="P92" s="4"/>
      <c r="Q92" s="4"/>
      <c r="R92" s="4"/>
      <c r="S92" s="7"/>
      <c r="T92" s="7"/>
      <c r="U92" s="7"/>
      <c r="V92" s="11"/>
      <c r="W92" s="11"/>
      <c r="X92" s="16"/>
      <c r="Y92" s="7"/>
      <c r="Z92" s="5"/>
      <c r="AA92" s="67"/>
    </row>
    <row r="93" spans="1:27">
      <c r="A93" s="66"/>
      <c r="B93" s="67"/>
      <c r="C93" s="67"/>
      <c r="D93" s="67"/>
      <c r="E93" s="25"/>
      <c r="F93" s="67"/>
      <c r="G93" s="67"/>
      <c r="H93" s="50"/>
      <c r="I93" s="10"/>
      <c r="J93" s="68"/>
      <c r="K93" s="4"/>
      <c r="L93" s="4"/>
      <c r="M93" s="4"/>
      <c r="N93" s="4"/>
      <c r="O93" s="4"/>
      <c r="P93" s="4"/>
      <c r="Q93" s="4"/>
      <c r="R93" s="4"/>
      <c r="S93" s="7"/>
      <c r="T93" s="7"/>
      <c r="U93" s="7"/>
      <c r="V93" s="11"/>
      <c r="W93" s="11"/>
      <c r="X93" s="16"/>
      <c r="Y93" s="7"/>
      <c r="Z93" s="5"/>
      <c r="AA93" s="67"/>
    </row>
    <row r="94" spans="1:27">
      <c r="A94" s="66"/>
      <c r="B94" s="67"/>
      <c r="C94" s="67"/>
      <c r="D94" s="67"/>
      <c r="E94" s="25"/>
      <c r="F94" s="67"/>
      <c r="G94" s="67"/>
      <c r="H94" s="50"/>
      <c r="I94" s="10"/>
      <c r="J94" s="68"/>
      <c r="K94" s="4"/>
      <c r="L94" s="4"/>
      <c r="M94" s="4"/>
      <c r="N94" s="4"/>
      <c r="O94" s="4"/>
      <c r="P94" s="4"/>
      <c r="Q94" s="4"/>
      <c r="R94" s="4"/>
      <c r="S94" s="7"/>
      <c r="T94" s="7"/>
      <c r="U94" s="7"/>
      <c r="V94" s="11"/>
      <c r="W94" s="11"/>
      <c r="X94" s="16"/>
      <c r="Y94" s="7"/>
      <c r="Z94" s="5"/>
      <c r="AA94" s="67"/>
    </row>
    <row r="95" spans="1:27">
      <c r="A95" s="66"/>
      <c r="B95" s="67"/>
      <c r="C95" s="67"/>
      <c r="D95" s="67"/>
      <c r="E95" s="25"/>
      <c r="F95" s="67"/>
      <c r="G95" s="67"/>
      <c r="H95" s="50"/>
      <c r="I95" s="10"/>
      <c r="J95" s="68"/>
      <c r="K95" s="4"/>
      <c r="L95" s="4"/>
      <c r="M95" s="4"/>
      <c r="N95" s="4"/>
      <c r="O95" s="4"/>
      <c r="P95" s="4"/>
      <c r="Q95" s="4"/>
      <c r="R95" s="4"/>
      <c r="S95" s="7"/>
      <c r="T95" s="7"/>
      <c r="U95" s="7"/>
      <c r="V95" s="11"/>
      <c r="W95" s="11"/>
      <c r="X95" s="16"/>
      <c r="Y95" s="7"/>
      <c r="Z95" s="5"/>
      <c r="AA95" s="67"/>
    </row>
    <row r="96" spans="1:27">
      <c r="A96" s="66"/>
      <c r="B96" s="67"/>
      <c r="C96" s="67"/>
      <c r="D96" s="67"/>
      <c r="E96" s="25"/>
      <c r="F96" s="67"/>
      <c r="G96" s="67"/>
      <c r="H96" s="50"/>
      <c r="I96" s="10"/>
      <c r="J96" s="68"/>
      <c r="K96" s="4"/>
      <c r="L96" s="4"/>
      <c r="M96" s="4"/>
      <c r="N96" s="4"/>
      <c r="O96" s="4"/>
      <c r="P96" s="4"/>
      <c r="Q96" s="4"/>
      <c r="R96" s="4"/>
      <c r="S96" s="7"/>
      <c r="T96" s="7"/>
      <c r="U96" s="7"/>
      <c r="V96" s="11"/>
      <c r="W96" s="11"/>
      <c r="X96" s="16"/>
      <c r="Y96" s="7"/>
      <c r="Z96" s="5"/>
      <c r="AA96" s="67"/>
    </row>
    <row r="97" spans="1:27">
      <c r="A97" s="66"/>
      <c r="B97" s="67"/>
      <c r="C97" s="67"/>
      <c r="D97" s="67"/>
      <c r="E97" s="25"/>
      <c r="F97" s="67"/>
      <c r="G97" s="67"/>
      <c r="H97" s="50"/>
      <c r="I97" s="10"/>
      <c r="J97" s="68"/>
      <c r="K97" s="4"/>
      <c r="L97" s="4"/>
      <c r="M97" s="4"/>
      <c r="N97" s="4"/>
      <c r="O97" s="4"/>
      <c r="P97" s="4"/>
      <c r="Q97" s="4"/>
      <c r="R97" s="4"/>
      <c r="S97" s="7"/>
      <c r="T97" s="7"/>
      <c r="U97" s="7"/>
      <c r="V97" s="11"/>
      <c r="W97" s="11"/>
      <c r="X97" s="16"/>
      <c r="Y97" s="7"/>
      <c r="Z97" s="5"/>
      <c r="AA97" s="67"/>
    </row>
    <row r="98" spans="1:27">
      <c r="A98" s="66"/>
      <c r="B98" s="67"/>
      <c r="C98" s="67"/>
      <c r="D98" s="67"/>
      <c r="E98" s="25"/>
      <c r="F98" s="67"/>
      <c r="G98" s="67"/>
      <c r="H98" s="50"/>
      <c r="I98" s="10"/>
      <c r="J98" s="68"/>
      <c r="K98" s="4"/>
      <c r="L98" s="4"/>
      <c r="M98" s="4"/>
      <c r="N98" s="4"/>
      <c r="O98" s="4"/>
      <c r="P98" s="4"/>
      <c r="Q98" s="4"/>
      <c r="R98" s="4"/>
      <c r="S98" s="7"/>
      <c r="T98" s="7"/>
      <c r="U98" s="7"/>
      <c r="V98" s="11"/>
      <c r="W98" s="11"/>
      <c r="X98" s="16"/>
      <c r="Y98" s="7"/>
      <c r="Z98" s="5"/>
      <c r="AA98" s="67"/>
    </row>
    <row r="99" spans="1:27">
      <c r="A99" s="66"/>
      <c r="B99" s="67"/>
      <c r="C99" s="67"/>
      <c r="D99" s="67"/>
      <c r="E99" s="25"/>
      <c r="F99" s="67"/>
      <c r="G99" s="67"/>
      <c r="H99" s="50"/>
      <c r="I99" s="10"/>
      <c r="J99" s="68"/>
      <c r="K99" s="4"/>
      <c r="L99" s="4"/>
      <c r="M99" s="4"/>
      <c r="N99" s="4"/>
      <c r="O99" s="4"/>
      <c r="P99" s="4"/>
      <c r="Q99" s="4"/>
      <c r="R99" s="4"/>
      <c r="S99" s="7"/>
      <c r="T99" s="7"/>
      <c r="U99" s="7"/>
      <c r="V99" s="11"/>
      <c r="W99" s="11"/>
      <c r="X99" s="16"/>
      <c r="Y99" s="7"/>
      <c r="Z99" s="5"/>
      <c r="AA99" s="67"/>
    </row>
    <row r="100" spans="1:27">
      <c r="A100" s="66"/>
      <c r="B100" s="67"/>
      <c r="C100" s="67"/>
      <c r="D100" s="67"/>
      <c r="E100" s="25"/>
      <c r="F100" s="67"/>
      <c r="G100" s="67"/>
      <c r="H100" s="50"/>
      <c r="I100" s="10"/>
      <c r="J100" s="68"/>
      <c r="K100" s="4"/>
      <c r="L100" s="4"/>
      <c r="M100" s="4"/>
      <c r="N100" s="4"/>
      <c r="O100" s="4"/>
      <c r="P100" s="4"/>
      <c r="Q100" s="4"/>
      <c r="R100" s="4"/>
      <c r="S100" s="7"/>
      <c r="T100" s="7"/>
      <c r="U100" s="7"/>
      <c r="V100" s="11"/>
      <c r="W100" s="11"/>
      <c r="X100" s="16"/>
      <c r="Y100" s="7"/>
      <c r="Z100" s="5"/>
      <c r="AA100" s="67"/>
    </row>
    <row r="101" spans="1:27">
      <c r="A101" s="66"/>
      <c r="B101" s="67"/>
      <c r="C101" s="67"/>
      <c r="D101" s="67"/>
      <c r="E101" s="25"/>
      <c r="F101" s="67"/>
      <c r="G101" s="67"/>
      <c r="H101" s="50"/>
      <c r="I101" s="10"/>
      <c r="J101" s="68"/>
      <c r="K101" s="4"/>
      <c r="L101" s="4"/>
      <c r="M101" s="4"/>
      <c r="N101" s="4"/>
      <c r="O101" s="4"/>
      <c r="P101" s="4"/>
      <c r="Q101" s="4"/>
      <c r="R101" s="4"/>
      <c r="S101" s="7"/>
      <c r="T101" s="7"/>
      <c r="U101" s="7"/>
      <c r="V101" s="11"/>
      <c r="W101" s="11"/>
      <c r="X101" s="16"/>
      <c r="Y101" s="7"/>
      <c r="Z101" s="5"/>
      <c r="AA101" s="67"/>
    </row>
    <row r="102" spans="1:27">
      <c r="A102" s="66"/>
      <c r="B102" s="67"/>
      <c r="C102" s="67"/>
      <c r="D102" s="67"/>
      <c r="E102" s="25"/>
      <c r="F102" s="67"/>
      <c r="G102" s="67"/>
      <c r="H102" s="50"/>
      <c r="I102" s="10"/>
      <c r="J102" s="68"/>
      <c r="K102" s="4"/>
      <c r="L102" s="4"/>
      <c r="M102" s="4"/>
      <c r="N102" s="4"/>
      <c r="O102" s="4"/>
      <c r="P102" s="4"/>
      <c r="Q102" s="4"/>
      <c r="R102" s="4"/>
      <c r="S102" s="7"/>
      <c r="T102" s="7"/>
      <c r="U102" s="7"/>
      <c r="V102" s="11"/>
      <c r="W102" s="11"/>
      <c r="X102" s="16"/>
      <c r="Y102" s="7"/>
      <c r="Z102" s="5"/>
      <c r="AA102" s="67"/>
    </row>
    <row r="103" spans="1:27">
      <c r="A103" s="66"/>
      <c r="B103" s="67"/>
      <c r="C103" s="67"/>
      <c r="D103" s="67"/>
      <c r="E103" s="25"/>
      <c r="F103" s="67"/>
      <c r="G103" s="67"/>
      <c r="H103" s="50"/>
      <c r="I103" s="10"/>
      <c r="J103" s="68"/>
      <c r="K103" s="4"/>
      <c r="L103" s="4"/>
      <c r="M103" s="4"/>
      <c r="N103" s="4"/>
      <c r="O103" s="4"/>
      <c r="P103" s="4"/>
      <c r="Q103" s="4"/>
      <c r="R103" s="4"/>
      <c r="S103" s="7"/>
      <c r="T103" s="7"/>
      <c r="U103" s="7"/>
      <c r="V103" s="11"/>
      <c r="W103" s="11"/>
      <c r="X103" s="16"/>
      <c r="Y103" s="7"/>
      <c r="Z103" s="5"/>
      <c r="AA103" s="67"/>
    </row>
    <row r="104" spans="1:27">
      <c r="A104" s="66"/>
      <c r="B104" s="67"/>
      <c r="C104" s="67"/>
      <c r="D104" s="67"/>
      <c r="E104" s="25"/>
      <c r="F104" s="67"/>
      <c r="G104" s="67"/>
      <c r="H104" s="50"/>
      <c r="I104" s="10"/>
      <c r="J104" s="68"/>
      <c r="K104" s="4"/>
      <c r="L104" s="4"/>
      <c r="M104" s="4"/>
      <c r="N104" s="4"/>
      <c r="O104" s="4"/>
      <c r="P104" s="4"/>
      <c r="Q104" s="4"/>
      <c r="R104" s="4"/>
      <c r="S104" s="7"/>
      <c r="T104" s="7"/>
      <c r="U104" s="7"/>
      <c r="V104" s="11"/>
      <c r="W104" s="11"/>
      <c r="X104" s="16"/>
      <c r="Y104" s="7"/>
      <c r="Z104" s="5"/>
      <c r="AA104" s="67"/>
    </row>
    <row r="105" spans="1:27">
      <c r="A105" s="66"/>
      <c r="B105" s="67"/>
      <c r="C105" s="67"/>
      <c r="D105" s="67"/>
      <c r="E105" s="25"/>
      <c r="F105" s="67"/>
      <c r="G105" s="67"/>
      <c r="H105" s="50"/>
      <c r="I105" s="10"/>
      <c r="J105" s="68"/>
      <c r="K105" s="4"/>
      <c r="L105" s="4"/>
      <c r="M105" s="4"/>
      <c r="N105" s="4"/>
      <c r="O105" s="4"/>
      <c r="P105" s="4"/>
      <c r="Q105" s="4"/>
      <c r="R105" s="4"/>
      <c r="S105" s="7"/>
      <c r="T105" s="7"/>
      <c r="U105" s="7"/>
      <c r="V105" s="11"/>
      <c r="W105" s="11"/>
      <c r="X105" s="16"/>
      <c r="Y105" s="7"/>
      <c r="Z105" s="5"/>
      <c r="AA105" s="67"/>
    </row>
    <row r="106" spans="1:27">
      <c r="A106" s="66"/>
      <c r="B106" s="67"/>
      <c r="C106" s="67"/>
      <c r="D106" s="67"/>
      <c r="E106" s="25"/>
      <c r="F106" s="67"/>
      <c r="G106" s="67"/>
      <c r="H106" s="50"/>
      <c r="I106" s="10"/>
      <c r="J106" s="68"/>
      <c r="K106" s="4"/>
      <c r="L106" s="4"/>
      <c r="M106" s="4"/>
      <c r="N106" s="4"/>
      <c r="O106" s="4"/>
      <c r="P106" s="4"/>
      <c r="Q106" s="4"/>
      <c r="R106" s="4"/>
      <c r="S106" s="7"/>
      <c r="T106" s="7"/>
      <c r="U106" s="7"/>
      <c r="V106" s="11"/>
      <c r="W106" s="11"/>
      <c r="X106" s="16"/>
      <c r="Y106" s="7"/>
      <c r="Z106" s="5"/>
      <c r="AA106" s="67"/>
    </row>
    <row r="107" spans="1:27">
      <c r="A107" s="66"/>
      <c r="B107" s="67"/>
      <c r="C107" s="67"/>
      <c r="D107" s="67"/>
      <c r="E107" s="25"/>
      <c r="F107" s="67"/>
      <c r="G107" s="67"/>
      <c r="H107" s="50"/>
      <c r="I107" s="10"/>
      <c r="J107" s="68"/>
      <c r="K107" s="4"/>
      <c r="L107" s="4"/>
      <c r="M107" s="4"/>
      <c r="N107" s="4"/>
      <c r="O107" s="4"/>
      <c r="P107" s="4"/>
      <c r="Q107" s="4"/>
      <c r="R107" s="4"/>
      <c r="S107" s="7"/>
      <c r="T107" s="7"/>
      <c r="U107" s="7"/>
      <c r="V107" s="11"/>
      <c r="W107" s="11"/>
      <c r="X107" s="16"/>
      <c r="Y107" s="7"/>
      <c r="Z107" s="5"/>
      <c r="AA107" s="67"/>
    </row>
    <row r="108" spans="1:27">
      <c r="A108" s="66"/>
      <c r="B108" s="67"/>
      <c r="C108" s="67"/>
      <c r="D108" s="67"/>
      <c r="E108" s="25"/>
      <c r="F108" s="67"/>
      <c r="G108" s="67"/>
      <c r="H108" s="50"/>
      <c r="I108" s="10"/>
      <c r="J108" s="68"/>
      <c r="K108" s="4"/>
      <c r="L108" s="4"/>
      <c r="M108" s="4"/>
      <c r="N108" s="4"/>
      <c r="O108" s="4"/>
      <c r="P108" s="4"/>
      <c r="Q108" s="4"/>
      <c r="R108" s="4"/>
      <c r="S108" s="7"/>
      <c r="T108" s="7"/>
      <c r="U108" s="7"/>
      <c r="V108" s="11"/>
      <c r="W108" s="11"/>
      <c r="X108" s="16"/>
      <c r="Y108" s="7"/>
      <c r="Z108" s="5"/>
      <c r="AA108" s="67"/>
    </row>
    <row r="109" spans="1:27">
      <c r="A109" s="66"/>
      <c r="B109" s="67"/>
      <c r="C109" s="67"/>
      <c r="D109" s="67"/>
      <c r="E109" s="25"/>
      <c r="F109" s="67"/>
      <c r="G109" s="67"/>
      <c r="H109" s="50"/>
      <c r="I109" s="10"/>
      <c r="J109" s="68"/>
      <c r="K109" s="4"/>
      <c r="L109" s="4"/>
      <c r="M109" s="4"/>
      <c r="N109" s="4"/>
      <c r="O109" s="4"/>
      <c r="P109" s="4"/>
      <c r="Q109" s="4"/>
      <c r="R109" s="4"/>
      <c r="S109" s="7"/>
      <c r="T109" s="7"/>
      <c r="U109" s="7"/>
      <c r="V109" s="11"/>
      <c r="W109" s="11"/>
      <c r="X109" s="16"/>
      <c r="Y109" s="7"/>
      <c r="Z109" s="5"/>
      <c r="AA109" s="67"/>
    </row>
    <row r="110" spans="1:27">
      <c r="A110" s="66"/>
      <c r="B110" s="67"/>
      <c r="C110" s="67"/>
      <c r="D110" s="67"/>
      <c r="E110" s="25"/>
      <c r="F110" s="67"/>
      <c r="G110" s="67"/>
      <c r="H110" s="50"/>
      <c r="I110" s="10"/>
      <c r="J110" s="68"/>
      <c r="K110" s="4"/>
      <c r="L110" s="4"/>
      <c r="M110" s="4"/>
      <c r="N110" s="4"/>
      <c r="O110" s="4"/>
      <c r="P110" s="4"/>
      <c r="Q110" s="4"/>
      <c r="R110" s="4"/>
      <c r="S110" s="7"/>
      <c r="T110" s="7"/>
      <c r="U110" s="7"/>
      <c r="V110" s="11"/>
      <c r="W110" s="11"/>
      <c r="X110" s="16"/>
      <c r="Y110" s="7"/>
      <c r="Z110" s="5"/>
      <c r="AA110" s="67"/>
    </row>
    <row r="111" spans="1:27">
      <c r="A111" s="66"/>
      <c r="B111" s="67"/>
      <c r="C111" s="67"/>
      <c r="D111" s="67"/>
      <c r="E111" s="25"/>
      <c r="F111" s="67"/>
      <c r="G111" s="67"/>
      <c r="H111" s="50"/>
      <c r="I111" s="10"/>
      <c r="J111" s="68"/>
      <c r="K111" s="4"/>
      <c r="L111" s="4"/>
      <c r="M111" s="4"/>
      <c r="N111" s="4"/>
      <c r="O111" s="4"/>
      <c r="P111" s="4"/>
      <c r="Q111" s="4"/>
      <c r="R111" s="4"/>
      <c r="S111" s="7"/>
      <c r="T111" s="7"/>
      <c r="U111" s="7"/>
      <c r="V111" s="11"/>
      <c r="W111" s="11"/>
      <c r="X111" s="16"/>
      <c r="Y111" s="7"/>
      <c r="Z111" s="5"/>
      <c r="AA111" s="67"/>
    </row>
    <row r="112" spans="1:27">
      <c r="A112" s="66"/>
      <c r="B112" s="67"/>
      <c r="C112" s="67"/>
      <c r="D112" s="67"/>
      <c r="E112" s="25"/>
      <c r="F112" s="67"/>
      <c r="G112" s="67"/>
      <c r="H112" s="50"/>
      <c r="I112" s="10"/>
      <c r="J112" s="68"/>
      <c r="K112" s="4"/>
      <c r="L112" s="4"/>
      <c r="M112" s="4"/>
      <c r="N112" s="4"/>
      <c r="O112" s="4"/>
      <c r="P112" s="4"/>
      <c r="Q112" s="4"/>
      <c r="R112" s="4"/>
      <c r="S112" s="7"/>
      <c r="T112" s="7"/>
      <c r="U112" s="7"/>
      <c r="V112" s="11"/>
      <c r="W112" s="11"/>
      <c r="X112" s="16"/>
      <c r="Y112" s="7"/>
      <c r="Z112" s="5"/>
      <c r="AA112" s="67"/>
    </row>
    <row r="113" spans="1:27">
      <c r="A113" s="66"/>
      <c r="B113" s="67"/>
      <c r="C113" s="67"/>
      <c r="D113" s="67"/>
      <c r="E113" s="25"/>
      <c r="F113" s="67"/>
      <c r="G113" s="67"/>
      <c r="H113" s="50"/>
      <c r="I113" s="10"/>
      <c r="J113" s="68"/>
      <c r="K113" s="4"/>
      <c r="L113" s="4"/>
      <c r="M113" s="4"/>
      <c r="N113" s="4"/>
      <c r="O113" s="4"/>
      <c r="P113" s="4"/>
      <c r="Q113" s="4"/>
      <c r="R113" s="4"/>
      <c r="S113" s="7"/>
      <c r="T113" s="7"/>
      <c r="U113" s="7"/>
      <c r="V113" s="11"/>
      <c r="W113" s="11"/>
      <c r="X113" s="16"/>
      <c r="Y113" s="7"/>
      <c r="Z113" s="5"/>
      <c r="AA113" s="67"/>
    </row>
    <row r="114" spans="1:27">
      <c r="A114" s="66"/>
      <c r="B114" s="67"/>
      <c r="C114" s="67"/>
      <c r="D114" s="67"/>
      <c r="E114" s="25"/>
      <c r="F114" s="67"/>
      <c r="G114" s="67"/>
      <c r="H114" s="50"/>
      <c r="I114" s="10"/>
      <c r="J114" s="68"/>
      <c r="K114" s="4"/>
      <c r="L114" s="4"/>
      <c r="M114" s="4"/>
      <c r="N114" s="4"/>
      <c r="O114" s="4"/>
      <c r="P114" s="4"/>
      <c r="Q114" s="4"/>
      <c r="R114" s="4"/>
      <c r="S114" s="7"/>
      <c r="T114" s="7"/>
      <c r="U114" s="7"/>
      <c r="V114" s="11"/>
      <c r="W114" s="11"/>
      <c r="X114" s="16"/>
      <c r="Y114" s="7"/>
      <c r="Z114" s="5"/>
      <c r="AA114" s="67"/>
    </row>
    <row r="115" spans="1:27">
      <c r="A115" s="66"/>
      <c r="B115" s="67"/>
      <c r="C115" s="67"/>
      <c r="D115" s="67"/>
      <c r="E115" s="25"/>
      <c r="F115" s="67"/>
      <c r="G115" s="67"/>
      <c r="H115" s="50"/>
      <c r="I115" s="10"/>
      <c r="J115" s="68"/>
      <c r="K115" s="4"/>
      <c r="L115" s="4"/>
      <c r="M115" s="4"/>
      <c r="N115" s="4"/>
      <c r="O115" s="4"/>
      <c r="P115" s="4"/>
      <c r="Q115" s="4"/>
      <c r="R115" s="4"/>
      <c r="S115" s="7"/>
      <c r="T115" s="7"/>
      <c r="U115" s="7"/>
      <c r="V115" s="11"/>
      <c r="W115" s="11"/>
      <c r="X115" s="16"/>
      <c r="Y115" s="7"/>
      <c r="Z115" s="5"/>
      <c r="AA115" s="67"/>
    </row>
    <row r="116" spans="1:27">
      <c r="A116" s="66"/>
      <c r="B116" s="67"/>
      <c r="C116" s="67"/>
      <c r="D116" s="67"/>
      <c r="E116" s="25"/>
      <c r="F116" s="67"/>
      <c r="G116" s="67"/>
      <c r="H116" s="50"/>
      <c r="I116" s="10"/>
      <c r="J116" s="68"/>
      <c r="K116" s="4"/>
      <c r="L116" s="4"/>
      <c r="M116" s="4"/>
      <c r="N116" s="4"/>
      <c r="O116" s="4"/>
      <c r="P116" s="4"/>
      <c r="Q116" s="4"/>
      <c r="R116" s="4"/>
      <c r="S116" s="7"/>
      <c r="T116" s="7"/>
      <c r="U116" s="7"/>
      <c r="V116" s="11"/>
      <c r="W116" s="11"/>
      <c r="X116" s="16"/>
      <c r="Y116" s="7"/>
      <c r="Z116" s="5"/>
      <c r="AA116" s="67"/>
    </row>
    <row r="117" spans="1:27">
      <c r="A117" s="66"/>
      <c r="B117" s="67"/>
      <c r="C117" s="67"/>
      <c r="D117" s="67"/>
      <c r="E117" s="25"/>
      <c r="F117" s="67"/>
      <c r="G117" s="67"/>
      <c r="H117" s="50"/>
      <c r="I117" s="10"/>
      <c r="J117" s="68"/>
      <c r="K117" s="4"/>
      <c r="L117" s="4"/>
      <c r="M117" s="4"/>
      <c r="N117" s="4"/>
      <c r="O117" s="4"/>
      <c r="P117" s="4"/>
      <c r="Q117" s="4"/>
      <c r="R117" s="4"/>
      <c r="S117" s="7"/>
      <c r="T117" s="7"/>
      <c r="U117" s="7"/>
      <c r="V117" s="11"/>
      <c r="W117" s="11"/>
      <c r="X117" s="16"/>
      <c r="Y117" s="7"/>
      <c r="Z117" s="5"/>
      <c r="AA117" s="67"/>
    </row>
    <row r="118" spans="1:27">
      <c r="A118" s="66"/>
      <c r="B118" s="67"/>
      <c r="C118" s="67"/>
      <c r="D118" s="67"/>
      <c r="E118" s="25"/>
      <c r="F118" s="67"/>
      <c r="G118" s="67"/>
      <c r="H118" s="50"/>
      <c r="I118" s="10"/>
      <c r="J118" s="68"/>
      <c r="K118" s="4"/>
      <c r="L118" s="4"/>
      <c r="M118" s="4"/>
      <c r="N118" s="4"/>
      <c r="O118" s="4"/>
      <c r="P118" s="4"/>
      <c r="Q118" s="4"/>
      <c r="R118" s="4"/>
      <c r="S118" s="7"/>
      <c r="T118" s="7"/>
      <c r="U118" s="7"/>
      <c r="V118" s="11"/>
      <c r="W118" s="11"/>
      <c r="X118" s="16"/>
      <c r="Y118" s="7"/>
      <c r="Z118" s="5"/>
      <c r="AA118" s="67"/>
    </row>
    <row r="119" spans="1:27">
      <c r="A119" s="66"/>
      <c r="B119" s="67"/>
      <c r="C119" s="67"/>
      <c r="D119" s="67"/>
      <c r="E119" s="25"/>
      <c r="F119" s="67"/>
      <c r="G119" s="67"/>
      <c r="H119" s="50"/>
      <c r="I119" s="10"/>
      <c r="J119" s="68"/>
      <c r="K119" s="4"/>
      <c r="L119" s="4"/>
      <c r="M119" s="4"/>
      <c r="N119" s="4"/>
      <c r="O119" s="4"/>
      <c r="P119" s="4"/>
      <c r="Q119" s="4"/>
      <c r="R119" s="4"/>
      <c r="S119" s="7"/>
      <c r="T119" s="7"/>
      <c r="U119" s="7"/>
      <c r="V119" s="11"/>
      <c r="W119" s="11"/>
      <c r="X119" s="16"/>
      <c r="Y119" s="7"/>
      <c r="Z119" s="5"/>
      <c r="AA119" s="67"/>
    </row>
    <row r="120" spans="1:27">
      <c r="A120" s="66"/>
      <c r="B120" s="67"/>
      <c r="C120" s="67"/>
      <c r="D120" s="67"/>
      <c r="E120" s="25"/>
      <c r="F120" s="67"/>
      <c r="G120" s="67"/>
      <c r="H120" s="50"/>
      <c r="I120" s="10"/>
      <c r="J120" s="68"/>
      <c r="K120" s="4"/>
      <c r="L120" s="4"/>
      <c r="M120" s="4"/>
      <c r="N120" s="4"/>
      <c r="O120" s="4"/>
      <c r="P120" s="4"/>
      <c r="Q120" s="4"/>
      <c r="R120" s="4"/>
      <c r="S120" s="7"/>
      <c r="T120" s="7"/>
      <c r="U120" s="7"/>
      <c r="V120" s="11"/>
      <c r="W120" s="11"/>
      <c r="X120" s="16"/>
      <c r="Y120" s="7"/>
      <c r="Z120" s="5"/>
      <c r="AA120" s="67"/>
    </row>
    <row r="121" spans="1:27">
      <c r="A121" s="66"/>
      <c r="B121" s="67"/>
      <c r="C121" s="67"/>
      <c r="D121" s="67"/>
      <c r="E121" s="25"/>
      <c r="F121" s="67"/>
      <c r="G121" s="67"/>
      <c r="H121" s="50"/>
      <c r="I121" s="10"/>
      <c r="J121" s="68"/>
      <c r="K121" s="4"/>
      <c r="L121" s="4"/>
      <c r="M121" s="4"/>
      <c r="N121" s="4"/>
      <c r="O121" s="4"/>
      <c r="P121" s="4"/>
      <c r="Q121" s="4"/>
      <c r="R121" s="4"/>
      <c r="S121" s="7"/>
      <c r="T121" s="7"/>
      <c r="U121" s="7"/>
      <c r="V121" s="11"/>
      <c r="W121" s="11"/>
      <c r="X121" s="16"/>
      <c r="Y121" s="7"/>
      <c r="Z121" s="5"/>
      <c r="AA121" s="67"/>
    </row>
    <row r="122" spans="1:27">
      <c r="A122" s="66"/>
      <c r="B122" s="67"/>
      <c r="C122" s="67"/>
      <c r="D122" s="67"/>
      <c r="E122" s="25"/>
      <c r="F122" s="67"/>
      <c r="G122" s="67"/>
      <c r="H122" s="50"/>
      <c r="I122" s="10"/>
      <c r="J122" s="68"/>
      <c r="K122" s="4"/>
      <c r="L122" s="4"/>
      <c r="M122" s="4"/>
      <c r="N122" s="4"/>
      <c r="O122" s="4"/>
      <c r="P122" s="4"/>
      <c r="Q122" s="4"/>
      <c r="R122" s="4"/>
      <c r="S122" s="7"/>
      <c r="T122" s="7"/>
      <c r="U122" s="7"/>
      <c r="V122" s="11"/>
      <c r="W122" s="11"/>
      <c r="X122" s="16"/>
      <c r="Y122" s="7"/>
      <c r="Z122" s="5"/>
      <c r="AA122" s="67"/>
    </row>
    <row r="123" spans="1:27">
      <c r="A123" s="66"/>
      <c r="B123" s="67"/>
      <c r="C123" s="67"/>
      <c r="D123" s="67"/>
      <c r="E123" s="25"/>
      <c r="F123" s="67"/>
      <c r="G123" s="67"/>
      <c r="H123" s="50"/>
      <c r="I123" s="10"/>
      <c r="J123" s="68"/>
      <c r="K123" s="4"/>
      <c r="L123" s="4"/>
      <c r="M123" s="4"/>
      <c r="N123" s="4"/>
      <c r="O123" s="4"/>
      <c r="P123" s="4"/>
      <c r="Q123" s="4"/>
      <c r="R123" s="4"/>
      <c r="S123" s="7"/>
      <c r="T123" s="7"/>
      <c r="U123" s="7"/>
      <c r="V123" s="11"/>
      <c r="W123" s="11"/>
      <c r="X123" s="16"/>
      <c r="Y123" s="7"/>
      <c r="Z123" s="5"/>
      <c r="AA123" s="67"/>
    </row>
    <row r="124" spans="1:27">
      <c r="A124" s="66"/>
      <c r="B124" s="67"/>
      <c r="C124" s="67"/>
      <c r="D124" s="67"/>
      <c r="E124" s="25"/>
      <c r="F124" s="67"/>
      <c r="G124" s="67"/>
      <c r="H124" s="50"/>
      <c r="I124" s="10"/>
      <c r="J124" s="68"/>
      <c r="K124" s="4"/>
      <c r="L124" s="4"/>
      <c r="M124" s="4"/>
      <c r="N124" s="4"/>
      <c r="O124" s="4"/>
      <c r="P124" s="4"/>
      <c r="Q124" s="4"/>
      <c r="R124" s="4"/>
      <c r="S124" s="7"/>
      <c r="T124" s="7"/>
      <c r="U124" s="7"/>
      <c r="V124" s="11"/>
      <c r="W124" s="11"/>
      <c r="X124" s="16"/>
      <c r="Y124" s="7"/>
      <c r="Z124" s="5"/>
      <c r="AA124" s="67"/>
    </row>
    <row r="125" spans="1:27">
      <c r="A125" s="66"/>
      <c r="B125" s="67"/>
      <c r="C125" s="67"/>
      <c r="D125" s="67"/>
      <c r="E125" s="25"/>
      <c r="F125" s="67"/>
      <c r="G125" s="67"/>
      <c r="H125" s="50"/>
      <c r="I125" s="10"/>
      <c r="J125" s="68"/>
      <c r="K125" s="4"/>
      <c r="L125" s="4"/>
      <c r="M125" s="4"/>
      <c r="N125" s="4"/>
      <c r="O125" s="4"/>
      <c r="P125" s="4"/>
      <c r="Q125" s="4"/>
      <c r="R125" s="4"/>
      <c r="S125" s="7"/>
      <c r="T125" s="7"/>
      <c r="U125" s="7"/>
      <c r="V125" s="11"/>
      <c r="W125" s="11"/>
      <c r="X125" s="16"/>
      <c r="Y125" s="7"/>
      <c r="Z125" s="5"/>
      <c r="AA125" s="67"/>
    </row>
    <row r="126" spans="1:27">
      <c r="A126" s="66"/>
      <c r="B126" s="67"/>
      <c r="C126" s="67"/>
      <c r="D126" s="67"/>
      <c r="E126" s="25"/>
      <c r="F126" s="67"/>
      <c r="G126" s="67"/>
      <c r="H126" s="50"/>
      <c r="I126" s="10"/>
      <c r="J126" s="68"/>
      <c r="K126" s="4"/>
      <c r="L126" s="4"/>
      <c r="M126" s="4"/>
      <c r="N126" s="4"/>
      <c r="O126" s="4"/>
      <c r="P126" s="4"/>
      <c r="Q126" s="4"/>
      <c r="R126" s="4"/>
      <c r="S126" s="7"/>
      <c r="T126" s="7"/>
      <c r="U126" s="7"/>
      <c r="V126" s="11"/>
      <c r="W126" s="11"/>
      <c r="X126" s="16"/>
      <c r="Y126" s="7"/>
      <c r="Z126" s="5"/>
      <c r="AA126" s="67"/>
    </row>
    <row r="127" spans="1:27">
      <c r="A127" s="66"/>
      <c r="B127" s="67"/>
      <c r="C127" s="67"/>
      <c r="D127" s="67"/>
      <c r="E127" s="25"/>
      <c r="F127" s="67"/>
      <c r="G127" s="67"/>
      <c r="H127" s="50"/>
      <c r="I127" s="10"/>
      <c r="J127" s="68"/>
      <c r="K127" s="4"/>
      <c r="L127" s="4"/>
      <c r="M127" s="4"/>
      <c r="N127" s="4"/>
      <c r="O127" s="4"/>
      <c r="P127" s="4"/>
      <c r="Q127" s="4"/>
      <c r="R127" s="4"/>
      <c r="S127" s="7"/>
      <c r="T127" s="7"/>
      <c r="U127" s="7"/>
      <c r="V127" s="11"/>
      <c r="W127" s="11"/>
      <c r="X127" s="16"/>
      <c r="Y127" s="7"/>
      <c r="Z127" s="5"/>
      <c r="AA127" s="67"/>
    </row>
    <row r="128" spans="1:27">
      <c r="A128" s="66"/>
      <c r="B128" s="67"/>
      <c r="C128" s="67"/>
      <c r="D128" s="67"/>
      <c r="E128" s="25"/>
      <c r="F128" s="67"/>
      <c r="G128" s="67"/>
      <c r="H128" s="50"/>
      <c r="I128" s="10"/>
      <c r="J128" s="68"/>
      <c r="K128" s="4"/>
      <c r="L128" s="4"/>
      <c r="M128" s="4"/>
      <c r="N128" s="4"/>
      <c r="O128" s="4"/>
      <c r="P128" s="4"/>
      <c r="Q128" s="4"/>
      <c r="R128" s="4"/>
      <c r="S128" s="7"/>
      <c r="T128" s="7"/>
      <c r="U128" s="7"/>
      <c r="V128" s="11"/>
      <c r="W128" s="11"/>
      <c r="X128" s="16"/>
      <c r="Y128" s="7"/>
      <c r="Z128" s="5"/>
      <c r="AA128" s="67"/>
    </row>
    <row r="129" spans="1:27">
      <c r="A129" s="66"/>
      <c r="B129" s="67"/>
      <c r="C129" s="67"/>
      <c r="D129" s="67"/>
      <c r="E129" s="25"/>
      <c r="F129" s="67"/>
      <c r="G129" s="67"/>
      <c r="H129" s="50"/>
      <c r="I129" s="10"/>
      <c r="J129" s="68"/>
      <c r="K129" s="4"/>
      <c r="L129" s="4"/>
      <c r="M129" s="4"/>
      <c r="N129" s="4"/>
      <c r="O129" s="4"/>
      <c r="P129" s="4"/>
      <c r="Q129" s="4"/>
      <c r="R129" s="4"/>
      <c r="S129" s="7"/>
      <c r="T129" s="7"/>
      <c r="U129" s="7"/>
      <c r="V129" s="11"/>
      <c r="W129" s="11"/>
      <c r="X129" s="16"/>
      <c r="Y129" s="7"/>
      <c r="Z129" s="5"/>
      <c r="AA129" s="67"/>
    </row>
    <row r="130" spans="1:27">
      <c r="A130" s="66"/>
      <c r="B130" s="67"/>
      <c r="C130" s="67"/>
      <c r="D130" s="67"/>
      <c r="E130" s="25"/>
      <c r="F130" s="67"/>
      <c r="G130" s="67"/>
      <c r="H130" s="50"/>
      <c r="I130" s="10"/>
      <c r="J130" s="68"/>
      <c r="K130" s="4"/>
      <c r="L130" s="4"/>
      <c r="M130" s="4"/>
      <c r="N130" s="4"/>
      <c r="O130" s="4"/>
      <c r="P130" s="4"/>
      <c r="Q130" s="4"/>
      <c r="R130" s="4"/>
      <c r="S130" s="7"/>
      <c r="T130" s="7"/>
      <c r="U130" s="7"/>
      <c r="V130" s="11"/>
      <c r="W130" s="11"/>
      <c r="X130" s="16"/>
      <c r="Y130" s="7"/>
      <c r="Z130" s="5"/>
      <c r="AA130" s="67"/>
    </row>
    <row r="131" spans="1:27">
      <c r="A131" s="66"/>
      <c r="B131" s="67"/>
      <c r="C131" s="67"/>
      <c r="D131" s="67"/>
      <c r="E131" s="25"/>
      <c r="F131" s="67"/>
      <c r="G131" s="67"/>
      <c r="H131" s="50"/>
      <c r="I131" s="10"/>
      <c r="J131" s="68"/>
      <c r="K131" s="4"/>
      <c r="L131" s="4"/>
      <c r="M131" s="4"/>
      <c r="N131" s="4"/>
      <c r="O131" s="4"/>
      <c r="P131" s="4"/>
      <c r="Q131" s="4"/>
      <c r="R131" s="4"/>
      <c r="S131" s="7"/>
      <c r="T131" s="7"/>
      <c r="U131" s="7"/>
      <c r="V131" s="11"/>
      <c r="W131" s="11"/>
      <c r="X131" s="16"/>
      <c r="Y131" s="7"/>
      <c r="Z131" s="5"/>
      <c r="AA131" s="67"/>
    </row>
    <row r="132" spans="1:27">
      <c r="A132" s="66"/>
      <c r="B132" s="67"/>
      <c r="C132" s="67"/>
      <c r="D132" s="67"/>
      <c r="E132" s="25"/>
      <c r="F132" s="67"/>
      <c r="G132" s="67"/>
      <c r="H132" s="50"/>
      <c r="I132" s="10"/>
      <c r="J132" s="68"/>
      <c r="K132" s="4"/>
      <c r="L132" s="4"/>
      <c r="M132" s="4"/>
      <c r="N132" s="4"/>
      <c r="O132" s="4"/>
      <c r="P132" s="4"/>
      <c r="Q132" s="4"/>
      <c r="R132" s="4"/>
      <c r="S132" s="7"/>
      <c r="T132" s="7"/>
      <c r="U132" s="7"/>
      <c r="V132" s="11"/>
      <c r="W132" s="11"/>
      <c r="X132" s="16"/>
      <c r="Y132" s="7"/>
      <c r="Z132" s="5"/>
      <c r="AA132" s="67"/>
    </row>
    <row r="133" spans="1:27">
      <c r="A133" s="66"/>
      <c r="B133" s="67"/>
      <c r="C133" s="67"/>
      <c r="D133" s="67"/>
      <c r="E133" s="25"/>
      <c r="F133" s="67"/>
      <c r="G133" s="67"/>
      <c r="H133" s="50"/>
      <c r="I133" s="10"/>
      <c r="J133" s="68"/>
      <c r="K133" s="4"/>
      <c r="L133" s="4"/>
      <c r="M133" s="4"/>
      <c r="N133" s="4"/>
      <c r="O133" s="4"/>
      <c r="P133" s="4"/>
      <c r="Q133" s="4"/>
      <c r="R133" s="4"/>
      <c r="S133" s="7"/>
      <c r="T133" s="7"/>
      <c r="U133" s="7"/>
      <c r="V133" s="11"/>
      <c r="W133" s="11"/>
      <c r="X133" s="16"/>
      <c r="Y133" s="7"/>
      <c r="Z133" s="5"/>
      <c r="AA133" s="67"/>
    </row>
    <row r="134" spans="1:27">
      <c r="A134" s="66"/>
      <c r="B134" s="67"/>
      <c r="C134" s="67"/>
      <c r="D134" s="67"/>
      <c r="E134" s="25"/>
      <c r="F134" s="67"/>
      <c r="G134" s="67"/>
      <c r="H134" s="50"/>
      <c r="I134" s="10"/>
      <c r="J134" s="68"/>
      <c r="K134" s="4"/>
      <c r="L134" s="4"/>
      <c r="M134" s="4"/>
      <c r="N134" s="4"/>
      <c r="O134" s="4"/>
      <c r="P134" s="4"/>
      <c r="Q134" s="4"/>
      <c r="R134" s="4"/>
      <c r="S134" s="7"/>
      <c r="T134" s="7"/>
      <c r="U134" s="7"/>
      <c r="V134" s="11"/>
      <c r="W134" s="11"/>
      <c r="X134" s="16"/>
      <c r="Y134" s="7"/>
      <c r="Z134" s="5"/>
      <c r="AA134" s="67"/>
    </row>
    <row r="135" spans="1:27">
      <c r="A135" s="66"/>
      <c r="B135" s="67"/>
      <c r="C135" s="67"/>
      <c r="D135" s="67"/>
      <c r="E135" s="25"/>
      <c r="F135" s="67"/>
      <c r="G135" s="67"/>
      <c r="H135" s="50"/>
      <c r="I135" s="10"/>
      <c r="J135" s="68"/>
      <c r="K135" s="4"/>
      <c r="L135" s="4"/>
      <c r="M135" s="4"/>
      <c r="N135" s="4"/>
      <c r="O135" s="4"/>
      <c r="P135" s="4"/>
      <c r="Q135" s="4"/>
      <c r="R135" s="4"/>
      <c r="S135" s="7"/>
      <c r="T135" s="7"/>
      <c r="U135" s="7"/>
      <c r="V135" s="11"/>
      <c r="W135" s="11"/>
      <c r="X135" s="16"/>
      <c r="Y135" s="7"/>
      <c r="Z135" s="5"/>
      <c r="AA135" s="67"/>
    </row>
    <row r="136" spans="1:27">
      <c r="A136" s="66"/>
      <c r="B136" s="67"/>
      <c r="C136" s="67"/>
      <c r="D136" s="67"/>
      <c r="E136" s="25"/>
      <c r="F136" s="67"/>
      <c r="G136" s="67"/>
      <c r="H136" s="50"/>
      <c r="I136" s="10"/>
      <c r="J136" s="68"/>
      <c r="K136" s="4"/>
      <c r="L136" s="4"/>
      <c r="M136" s="4"/>
      <c r="N136" s="4"/>
      <c r="O136" s="4"/>
      <c r="P136" s="4"/>
      <c r="Q136" s="4"/>
      <c r="R136" s="4"/>
      <c r="S136" s="7"/>
      <c r="T136" s="7"/>
      <c r="U136" s="7"/>
      <c r="V136" s="11"/>
      <c r="W136" s="11"/>
      <c r="X136" s="16"/>
      <c r="Y136" s="7"/>
      <c r="Z136" s="5"/>
      <c r="AA136" s="67"/>
    </row>
    <row r="137" spans="1:27">
      <c r="A137" s="66"/>
      <c r="B137" s="67"/>
      <c r="C137" s="67"/>
      <c r="D137" s="67"/>
      <c r="E137" s="25"/>
      <c r="F137" s="67"/>
      <c r="G137" s="67"/>
      <c r="H137" s="50"/>
      <c r="I137" s="10"/>
      <c r="J137" s="68"/>
      <c r="K137" s="4"/>
      <c r="L137" s="4"/>
      <c r="M137" s="4"/>
      <c r="N137" s="4"/>
      <c r="O137" s="4"/>
      <c r="P137" s="4"/>
      <c r="Q137" s="4"/>
      <c r="R137" s="4"/>
      <c r="S137" s="7"/>
      <c r="T137" s="7"/>
      <c r="U137" s="7"/>
      <c r="V137" s="11"/>
      <c r="W137" s="11"/>
      <c r="X137" s="16"/>
      <c r="Y137" s="7"/>
      <c r="Z137" s="5"/>
      <c r="AA137" s="67"/>
    </row>
    <row r="138" spans="1:27">
      <c r="A138" s="66"/>
      <c r="B138" s="67"/>
      <c r="C138" s="67"/>
      <c r="D138" s="67"/>
      <c r="E138" s="25"/>
      <c r="F138" s="67"/>
      <c r="G138" s="67"/>
      <c r="H138" s="50"/>
      <c r="I138" s="10"/>
      <c r="J138" s="68"/>
      <c r="K138" s="4"/>
      <c r="L138" s="4"/>
      <c r="M138" s="4"/>
      <c r="N138" s="4"/>
      <c r="O138" s="4"/>
      <c r="P138" s="4"/>
      <c r="Q138" s="4"/>
      <c r="R138" s="4"/>
      <c r="S138" s="7"/>
      <c r="T138" s="7"/>
      <c r="U138" s="7"/>
      <c r="V138" s="11"/>
      <c r="W138" s="11"/>
      <c r="X138" s="16"/>
      <c r="Y138" s="7"/>
      <c r="Z138" s="5"/>
      <c r="AA138" s="67"/>
    </row>
    <row r="139" spans="1:27">
      <c r="A139" s="66"/>
      <c r="B139" s="67"/>
      <c r="C139" s="67"/>
      <c r="D139" s="67"/>
      <c r="E139" s="25"/>
      <c r="F139" s="67"/>
      <c r="G139" s="67"/>
      <c r="H139" s="50"/>
      <c r="I139" s="10"/>
      <c r="J139" s="68"/>
      <c r="K139" s="4"/>
      <c r="L139" s="4"/>
      <c r="M139" s="4"/>
      <c r="N139" s="4"/>
      <c r="O139" s="4"/>
      <c r="P139" s="4"/>
      <c r="Q139" s="4"/>
      <c r="R139" s="4"/>
      <c r="S139" s="7"/>
      <c r="T139" s="7"/>
      <c r="U139" s="7"/>
      <c r="V139" s="11"/>
      <c r="W139" s="11"/>
      <c r="X139" s="16"/>
      <c r="Y139" s="7"/>
      <c r="Z139" s="5"/>
      <c r="AA139" s="67"/>
    </row>
    <row r="140" spans="1:27">
      <c r="A140" s="66"/>
      <c r="B140" s="67"/>
      <c r="C140" s="67"/>
      <c r="D140" s="67"/>
      <c r="E140" s="25"/>
      <c r="F140" s="67"/>
      <c r="G140" s="67"/>
      <c r="H140" s="50"/>
      <c r="I140" s="10"/>
      <c r="J140" s="68"/>
      <c r="K140" s="4"/>
      <c r="L140" s="4"/>
      <c r="M140" s="4"/>
      <c r="N140" s="4"/>
      <c r="O140" s="4"/>
      <c r="P140" s="4"/>
      <c r="Q140" s="4"/>
      <c r="R140" s="4"/>
      <c r="S140" s="7"/>
      <c r="T140" s="7"/>
      <c r="U140" s="7"/>
      <c r="V140" s="11"/>
      <c r="W140" s="11"/>
      <c r="X140" s="16"/>
      <c r="Y140" s="7"/>
      <c r="Z140" s="5"/>
      <c r="AA140" s="67"/>
    </row>
    <row r="141" spans="1:27">
      <c r="A141" s="66"/>
      <c r="B141" s="67"/>
      <c r="C141" s="67"/>
      <c r="D141" s="67"/>
      <c r="E141" s="25"/>
      <c r="F141" s="67"/>
      <c r="G141" s="67"/>
      <c r="H141" s="50"/>
      <c r="I141" s="10"/>
      <c r="J141" s="68"/>
      <c r="K141" s="4"/>
      <c r="L141" s="4"/>
      <c r="M141" s="4"/>
      <c r="N141" s="4"/>
      <c r="O141" s="4"/>
      <c r="P141" s="4"/>
      <c r="Q141" s="4"/>
      <c r="R141" s="4"/>
      <c r="S141" s="7"/>
      <c r="T141" s="7"/>
      <c r="U141" s="7"/>
      <c r="V141" s="11"/>
      <c r="W141" s="11"/>
      <c r="X141" s="16"/>
      <c r="Y141" s="7"/>
      <c r="Z141" s="5"/>
      <c r="AA141" s="67"/>
    </row>
    <row r="142" spans="1:27">
      <c r="A142" s="66"/>
      <c r="B142" s="67"/>
      <c r="C142" s="67"/>
      <c r="D142" s="67"/>
      <c r="E142" s="25"/>
      <c r="F142" s="67"/>
      <c r="G142" s="67"/>
      <c r="H142" s="50"/>
      <c r="I142" s="10"/>
      <c r="J142" s="68"/>
      <c r="K142" s="4"/>
      <c r="L142" s="4"/>
      <c r="M142" s="4"/>
      <c r="N142" s="4"/>
      <c r="O142" s="4"/>
      <c r="P142" s="4"/>
      <c r="Q142" s="4"/>
      <c r="R142" s="4"/>
      <c r="S142" s="7"/>
      <c r="T142" s="7"/>
      <c r="U142" s="7"/>
      <c r="V142" s="11"/>
      <c r="W142" s="11"/>
      <c r="X142" s="16"/>
      <c r="Y142" s="7"/>
      <c r="Z142" s="5"/>
      <c r="AA142" s="67"/>
    </row>
    <row r="143" spans="1:27">
      <c r="A143" s="66"/>
      <c r="B143" s="67"/>
      <c r="C143" s="67"/>
      <c r="D143" s="67"/>
      <c r="E143" s="25"/>
      <c r="F143" s="67"/>
      <c r="G143" s="67"/>
      <c r="H143" s="50"/>
      <c r="I143" s="10"/>
      <c r="J143" s="68"/>
      <c r="K143" s="4"/>
      <c r="L143" s="4"/>
      <c r="M143" s="4"/>
      <c r="N143" s="4"/>
      <c r="O143" s="4"/>
      <c r="P143" s="4"/>
      <c r="Q143" s="4"/>
      <c r="R143" s="4"/>
      <c r="S143" s="7"/>
      <c r="T143" s="7"/>
      <c r="U143" s="7"/>
      <c r="V143" s="11"/>
      <c r="W143" s="11"/>
      <c r="X143" s="16"/>
      <c r="Y143" s="7"/>
      <c r="Z143" s="5"/>
      <c r="AA143" s="67"/>
    </row>
    <row r="144" spans="1:27">
      <c r="A144" s="66"/>
      <c r="B144" s="67"/>
      <c r="C144" s="67"/>
      <c r="D144" s="67"/>
      <c r="E144" s="25"/>
      <c r="F144" s="67"/>
      <c r="G144" s="67"/>
      <c r="H144" s="50"/>
      <c r="I144" s="10"/>
      <c r="J144" s="68"/>
      <c r="K144" s="4"/>
      <c r="L144" s="4"/>
      <c r="M144" s="4"/>
      <c r="N144" s="4"/>
      <c r="O144" s="4"/>
      <c r="P144" s="4"/>
      <c r="Q144" s="4"/>
      <c r="R144" s="4"/>
      <c r="S144" s="7"/>
      <c r="T144" s="7"/>
      <c r="U144" s="7"/>
      <c r="V144" s="11"/>
      <c r="W144" s="11"/>
      <c r="X144" s="16"/>
      <c r="Y144" s="7"/>
      <c r="Z144" s="5"/>
      <c r="AA144" s="67"/>
    </row>
    <row r="145" spans="1:27">
      <c r="A145" s="66"/>
      <c r="B145" s="67"/>
      <c r="C145" s="67"/>
      <c r="D145" s="67"/>
      <c r="E145" s="25"/>
      <c r="F145" s="67"/>
      <c r="G145" s="67"/>
      <c r="H145" s="50"/>
      <c r="I145" s="10"/>
      <c r="J145" s="68"/>
      <c r="K145" s="4"/>
      <c r="L145" s="4"/>
      <c r="M145" s="4"/>
      <c r="N145" s="4"/>
      <c r="O145" s="4"/>
      <c r="P145" s="4"/>
      <c r="Q145" s="4"/>
      <c r="R145" s="4"/>
      <c r="S145" s="7"/>
      <c r="T145" s="7"/>
      <c r="U145" s="7"/>
      <c r="V145" s="11"/>
      <c r="W145" s="11"/>
      <c r="X145" s="16"/>
      <c r="Y145" s="7"/>
      <c r="Z145" s="5"/>
      <c r="AA145" s="67"/>
    </row>
    <row r="146" spans="1:27">
      <c r="A146" s="66"/>
      <c r="B146" s="67"/>
      <c r="C146" s="67"/>
      <c r="D146" s="67"/>
      <c r="E146" s="25"/>
      <c r="F146" s="67"/>
      <c r="G146" s="67"/>
      <c r="H146" s="50"/>
      <c r="I146" s="10"/>
      <c r="J146" s="68"/>
      <c r="K146" s="4"/>
      <c r="L146" s="4"/>
      <c r="M146" s="4"/>
      <c r="N146" s="4"/>
      <c r="O146" s="4"/>
      <c r="P146" s="4"/>
      <c r="Q146" s="4"/>
      <c r="R146" s="4"/>
      <c r="S146" s="7"/>
      <c r="T146" s="7"/>
      <c r="U146" s="7"/>
      <c r="V146" s="11"/>
      <c r="W146" s="11"/>
      <c r="X146" s="16"/>
      <c r="Y146" s="7"/>
      <c r="Z146" s="5"/>
      <c r="AA146" s="67"/>
    </row>
    <row r="147" spans="1:27">
      <c r="A147" s="66"/>
      <c r="B147" s="67"/>
      <c r="C147" s="67"/>
      <c r="D147" s="67"/>
      <c r="E147" s="25"/>
      <c r="F147" s="67"/>
      <c r="G147" s="67"/>
      <c r="H147" s="50"/>
      <c r="I147" s="10"/>
      <c r="J147" s="68"/>
      <c r="K147" s="4"/>
      <c r="L147" s="4"/>
      <c r="M147" s="4"/>
      <c r="N147" s="4"/>
      <c r="O147" s="4"/>
      <c r="P147" s="4"/>
      <c r="Q147" s="4"/>
      <c r="R147" s="4"/>
      <c r="S147" s="7"/>
      <c r="T147" s="7"/>
      <c r="U147" s="7"/>
      <c r="V147" s="11"/>
      <c r="W147" s="11"/>
      <c r="X147" s="16"/>
      <c r="Y147" s="7"/>
      <c r="Z147" s="5"/>
      <c r="AA147" s="67"/>
    </row>
    <row r="148" spans="1:27">
      <c r="A148" s="66"/>
      <c r="B148" s="67"/>
      <c r="C148" s="67"/>
      <c r="D148" s="67"/>
      <c r="E148" s="25"/>
      <c r="F148" s="67"/>
      <c r="G148" s="67"/>
      <c r="H148" s="50"/>
      <c r="I148" s="10"/>
      <c r="J148" s="68"/>
      <c r="K148" s="4"/>
      <c r="L148" s="4"/>
      <c r="M148" s="4"/>
      <c r="N148" s="4"/>
      <c r="O148" s="4"/>
      <c r="P148" s="4"/>
      <c r="Q148" s="4"/>
      <c r="R148" s="4"/>
      <c r="S148" s="7"/>
      <c r="T148" s="7"/>
      <c r="U148" s="7"/>
      <c r="V148" s="11"/>
      <c r="W148" s="11"/>
      <c r="X148" s="16"/>
      <c r="Y148" s="7"/>
      <c r="Z148" s="5"/>
      <c r="AA148" s="67"/>
    </row>
    <row r="149" spans="1:27">
      <c r="A149" s="66"/>
      <c r="B149" s="67"/>
      <c r="C149" s="67"/>
      <c r="D149" s="67"/>
      <c r="E149" s="25"/>
      <c r="F149" s="67"/>
      <c r="G149" s="67"/>
      <c r="H149" s="50"/>
      <c r="I149" s="10"/>
      <c r="J149" s="68"/>
      <c r="K149" s="4"/>
      <c r="L149" s="4"/>
      <c r="M149" s="4"/>
      <c r="N149" s="4"/>
      <c r="O149" s="4"/>
      <c r="P149" s="4"/>
      <c r="Q149" s="4"/>
      <c r="R149" s="4"/>
      <c r="S149" s="7"/>
      <c r="T149" s="7"/>
      <c r="U149" s="7"/>
      <c r="V149" s="11"/>
      <c r="W149" s="11"/>
      <c r="X149" s="16"/>
      <c r="Y149" s="7"/>
      <c r="Z149" s="5"/>
      <c r="AA149" s="67"/>
    </row>
    <row r="150" spans="1:27">
      <c r="A150" s="66"/>
      <c r="B150" s="67"/>
      <c r="C150" s="67"/>
      <c r="D150" s="67"/>
      <c r="E150" s="25"/>
      <c r="F150" s="67"/>
      <c r="G150" s="67"/>
      <c r="H150" s="50"/>
      <c r="I150" s="10"/>
      <c r="J150" s="68"/>
      <c r="K150" s="4"/>
      <c r="L150" s="4"/>
      <c r="M150" s="4"/>
      <c r="N150" s="4"/>
      <c r="O150" s="4"/>
      <c r="P150" s="4"/>
      <c r="Q150" s="4"/>
      <c r="R150" s="4"/>
      <c r="S150" s="7"/>
      <c r="T150" s="7"/>
      <c r="U150" s="7"/>
      <c r="V150" s="11"/>
      <c r="W150" s="11"/>
      <c r="X150" s="16"/>
      <c r="Y150" s="7"/>
      <c r="Z150" s="5"/>
      <c r="AA150" s="67"/>
    </row>
    <row r="151" spans="1:27">
      <c r="A151" s="66"/>
      <c r="B151" s="67"/>
      <c r="C151" s="67"/>
      <c r="D151" s="67"/>
      <c r="E151" s="25"/>
      <c r="F151" s="67"/>
      <c r="G151" s="67"/>
      <c r="H151" s="50"/>
      <c r="I151" s="10"/>
      <c r="J151" s="68"/>
      <c r="K151" s="4"/>
      <c r="L151" s="4"/>
      <c r="M151" s="4"/>
      <c r="N151" s="4"/>
      <c r="O151" s="4"/>
      <c r="P151" s="4"/>
      <c r="Q151" s="4"/>
      <c r="R151" s="4"/>
      <c r="S151" s="7"/>
      <c r="T151" s="7"/>
      <c r="U151" s="7"/>
      <c r="V151" s="11"/>
      <c r="W151" s="11"/>
      <c r="X151" s="16"/>
      <c r="Y151" s="7"/>
      <c r="Z151" s="5"/>
      <c r="AA151" s="67"/>
    </row>
    <row r="152" spans="1:27">
      <c r="A152" s="66"/>
      <c r="B152" s="67"/>
      <c r="C152" s="67"/>
      <c r="D152" s="67"/>
      <c r="E152" s="25"/>
      <c r="F152" s="67"/>
      <c r="G152" s="67"/>
      <c r="H152" s="50"/>
      <c r="I152" s="10"/>
      <c r="J152" s="68"/>
      <c r="K152" s="4"/>
      <c r="L152" s="4"/>
      <c r="M152" s="4"/>
      <c r="N152" s="4"/>
      <c r="O152" s="4"/>
      <c r="P152" s="4"/>
      <c r="Q152" s="4"/>
      <c r="R152" s="4"/>
      <c r="S152" s="7"/>
      <c r="T152" s="7"/>
      <c r="U152" s="7"/>
      <c r="V152" s="11"/>
      <c r="W152" s="11"/>
      <c r="X152" s="16"/>
      <c r="Y152" s="7"/>
      <c r="Z152" s="5"/>
      <c r="AA152" s="67"/>
    </row>
    <row r="153" spans="1:27">
      <c r="A153" s="66"/>
      <c r="B153" s="67"/>
      <c r="C153" s="67"/>
      <c r="D153" s="67"/>
      <c r="E153" s="25"/>
      <c r="F153" s="67"/>
      <c r="G153" s="67"/>
      <c r="H153" s="50"/>
      <c r="I153" s="10"/>
      <c r="J153" s="68"/>
      <c r="K153" s="4"/>
      <c r="L153" s="4"/>
      <c r="M153" s="4"/>
      <c r="N153" s="4"/>
      <c r="O153" s="4"/>
      <c r="P153" s="4"/>
      <c r="Q153" s="4"/>
      <c r="R153" s="4"/>
      <c r="S153" s="7"/>
      <c r="T153" s="7"/>
      <c r="U153" s="7"/>
      <c r="V153" s="11"/>
      <c r="W153" s="11"/>
      <c r="X153" s="16"/>
      <c r="Y153" s="7"/>
      <c r="Z153" s="5"/>
      <c r="AA153" s="67"/>
    </row>
    <row r="154" spans="1:27">
      <c r="A154" s="66"/>
      <c r="B154" s="67"/>
      <c r="C154" s="67"/>
      <c r="D154" s="67"/>
      <c r="E154" s="25"/>
      <c r="F154" s="67"/>
      <c r="G154" s="67"/>
      <c r="H154" s="50"/>
      <c r="I154" s="10"/>
      <c r="J154" s="68"/>
      <c r="K154" s="4"/>
      <c r="L154" s="4"/>
      <c r="M154" s="4"/>
      <c r="N154" s="4"/>
      <c r="O154" s="4"/>
      <c r="P154" s="4"/>
      <c r="Q154" s="4"/>
      <c r="R154" s="4"/>
      <c r="S154" s="7"/>
      <c r="T154" s="7"/>
      <c r="U154" s="7"/>
      <c r="V154" s="11"/>
      <c r="W154" s="11"/>
      <c r="X154" s="16"/>
      <c r="Y154" s="7"/>
      <c r="Z154" s="5"/>
      <c r="AA154" s="67"/>
    </row>
    <row r="155" spans="1:27">
      <c r="A155" s="66"/>
      <c r="B155" s="67"/>
      <c r="C155" s="67"/>
      <c r="D155" s="67"/>
      <c r="E155" s="25"/>
      <c r="F155" s="67"/>
      <c r="G155" s="67"/>
      <c r="H155" s="50"/>
      <c r="I155" s="10"/>
      <c r="J155" s="68"/>
      <c r="K155" s="4"/>
      <c r="L155" s="4"/>
      <c r="M155" s="4"/>
      <c r="N155" s="4"/>
      <c r="O155" s="4"/>
      <c r="P155" s="4"/>
      <c r="Q155" s="4"/>
      <c r="R155" s="4"/>
      <c r="S155" s="7"/>
      <c r="T155" s="7"/>
      <c r="U155" s="7"/>
      <c r="V155" s="11"/>
      <c r="W155" s="11"/>
      <c r="X155" s="16"/>
      <c r="Y155" s="7"/>
      <c r="Z155" s="5"/>
      <c r="AA155" s="67"/>
    </row>
    <row r="156" spans="1:27">
      <c r="A156" s="66"/>
      <c r="B156" s="67"/>
      <c r="C156" s="67"/>
      <c r="D156" s="67"/>
      <c r="E156" s="25"/>
      <c r="F156" s="67"/>
      <c r="G156" s="67"/>
      <c r="H156" s="50"/>
      <c r="I156" s="10"/>
      <c r="J156" s="68"/>
      <c r="K156" s="4"/>
      <c r="L156" s="4"/>
      <c r="M156" s="4"/>
      <c r="N156" s="4"/>
      <c r="O156" s="4"/>
      <c r="P156" s="4"/>
      <c r="Q156" s="4"/>
      <c r="R156" s="4"/>
      <c r="S156" s="7"/>
      <c r="T156" s="7"/>
      <c r="U156" s="7"/>
      <c r="V156" s="11"/>
      <c r="W156" s="11"/>
      <c r="X156" s="16"/>
      <c r="Y156" s="7"/>
      <c r="Z156" s="5"/>
      <c r="AA156" s="67"/>
    </row>
    <row r="157" spans="1:27">
      <c r="A157" s="66"/>
      <c r="B157" s="67"/>
      <c r="C157" s="67"/>
      <c r="D157" s="67"/>
      <c r="E157" s="25"/>
      <c r="F157" s="67"/>
      <c r="G157" s="67"/>
      <c r="H157" s="50"/>
      <c r="I157" s="10"/>
      <c r="J157" s="68"/>
      <c r="K157" s="4"/>
      <c r="L157" s="4"/>
      <c r="M157" s="4"/>
      <c r="N157" s="4"/>
      <c r="O157" s="4"/>
      <c r="P157" s="4"/>
      <c r="Q157" s="4"/>
      <c r="R157" s="4"/>
      <c r="S157" s="7"/>
      <c r="T157" s="7"/>
      <c r="U157" s="7"/>
      <c r="V157" s="11"/>
      <c r="W157" s="11"/>
      <c r="X157" s="16"/>
      <c r="Y157" s="7"/>
      <c r="Z157" s="5"/>
      <c r="AA157" s="67"/>
    </row>
    <row r="158" spans="1:27">
      <c r="A158" s="66"/>
      <c r="B158" s="67"/>
      <c r="C158" s="67"/>
      <c r="D158" s="67"/>
      <c r="E158" s="25"/>
      <c r="F158" s="67"/>
      <c r="G158" s="67"/>
      <c r="H158" s="50"/>
      <c r="I158" s="10"/>
      <c r="J158" s="68"/>
      <c r="K158" s="4"/>
      <c r="L158" s="4"/>
      <c r="M158" s="4"/>
      <c r="N158" s="4"/>
      <c r="O158" s="4"/>
      <c r="P158" s="4"/>
      <c r="Q158" s="4"/>
      <c r="R158" s="4"/>
      <c r="S158" s="7"/>
      <c r="T158" s="7"/>
      <c r="U158" s="7"/>
      <c r="V158" s="11"/>
      <c r="W158" s="11"/>
      <c r="X158" s="16"/>
      <c r="Y158" s="7"/>
      <c r="Z158" s="5"/>
      <c r="AA158" s="67"/>
    </row>
    <row r="159" spans="1:27">
      <c r="A159" s="66"/>
      <c r="B159" s="67"/>
      <c r="C159" s="67"/>
      <c r="D159" s="67"/>
      <c r="E159" s="25"/>
      <c r="F159" s="67"/>
      <c r="G159" s="67"/>
      <c r="H159" s="50"/>
      <c r="I159" s="10"/>
      <c r="J159" s="68"/>
      <c r="K159" s="4"/>
      <c r="L159" s="4"/>
      <c r="M159" s="4"/>
      <c r="N159" s="4"/>
      <c r="O159" s="4"/>
      <c r="P159" s="4"/>
      <c r="Q159" s="4"/>
      <c r="R159" s="4"/>
      <c r="S159" s="7"/>
      <c r="T159" s="7"/>
      <c r="U159" s="7"/>
      <c r="V159" s="11"/>
      <c r="W159" s="11"/>
      <c r="X159" s="16"/>
      <c r="Y159" s="7"/>
      <c r="Z159" s="5"/>
      <c r="AA159" s="67"/>
    </row>
    <row r="160" spans="1:27">
      <c r="A160" s="66"/>
      <c r="B160" s="67"/>
      <c r="C160" s="67"/>
      <c r="D160" s="67"/>
      <c r="E160" s="25"/>
      <c r="F160" s="67"/>
      <c r="G160" s="67"/>
      <c r="H160" s="50"/>
      <c r="I160" s="10"/>
      <c r="J160" s="68"/>
      <c r="K160" s="4"/>
      <c r="L160" s="4"/>
      <c r="M160" s="4"/>
      <c r="N160" s="4"/>
      <c r="O160" s="4"/>
      <c r="P160" s="4"/>
      <c r="Q160" s="4"/>
      <c r="R160" s="4"/>
      <c r="S160" s="7"/>
      <c r="T160" s="7"/>
      <c r="U160" s="7"/>
      <c r="V160" s="11"/>
      <c r="W160" s="11"/>
      <c r="X160" s="16"/>
      <c r="Y160" s="7"/>
      <c r="Z160" s="5"/>
      <c r="AA160" s="67"/>
    </row>
    <row r="161" spans="1:27">
      <c r="A161" s="66"/>
      <c r="B161" s="67"/>
      <c r="C161" s="67"/>
      <c r="D161" s="67"/>
      <c r="E161" s="25"/>
      <c r="F161" s="67"/>
      <c r="G161" s="67"/>
      <c r="H161" s="50"/>
      <c r="I161" s="10"/>
      <c r="J161" s="68"/>
      <c r="K161" s="4"/>
      <c r="L161" s="4"/>
      <c r="M161" s="4"/>
      <c r="N161" s="4"/>
      <c r="O161" s="4"/>
      <c r="P161" s="4"/>
      <c r="Q161" s="4"/>
      <c r="R161" s="4"/>
      <c r="S161" s="7"/>
      <c r="T161" s="7"/>
      <c r="U161" s="7"/>
      <c r="V161" s="11"/>
      <c r="W161" s="11"/>
      <c r="X161" s="16"/>
      <c r="Y161" s="7"/>
      <c r="Z161" s="5"/>
      <c r="AA161" s="67"/>
    </row>
    <row r="162" spans="1:27">
      <c r="A162" s="66"/>
      <c r="B162" s="67"/>
      <c r="C162" s="67"/>
      <c r="D162" s="67"/>
      <c r="E162" s="25"/>
      <c r="F162" s="67"/>
      <c r="G162" s="67"/>
      <c r="H162" s="50"/>
      <c r="I162" s="10"/>
      <c r="J162" s="68"/>
      <c r="K162" s="4"/>
      <c r="L162" s="4"/>
      <c r="M162" s="4"/>
      <c r="N162" s="4"/>
      <c r="O162" s="4"/>
      <c r="P162" s="4"/>
      <c r="Q162" s="4"/>
      <c r="R162" s="4"/>
      <c r="S162" s="7"/>
      <c r="T162" s="7"/>
      <c r="U162" s="7"/>
      <c r="V162" s="11"/>
      <c r="W162" s="11"/>
      <c r="X162" s="16"/>
      <c r="Y162" s="7"/>
      <c r="Z162" s="5"/>
      <c r="AA162" s="67"/>
    </row>
    <row r="163" spans="1:27">
      <c r="A163" s="66"/>
      <c r="B163" s="67"/>
      <c r="C163" s="67"/>
      <c r="D163" s="67"/>
      <c r="E163" s="25"/>
      <c r="F163" s="67"/>
      <c r="G163" s="67"/>
      <c r="H163" s="50"/>
      <c r="I163" s="10"/>
      <c r="J163" s="68"/>
      <c r="K163" s="4"/>
      <c r="L163" s="4"/>
      <c r="M163" s="4"/>
      <c r="N163" s="4"/>
      <c r="O163" s="4"/>
      <c r="P163" s="4"/>
      <c r="Q163" s="4"/>
      <c r="R163" s="4"/>
      <c r="S163" s="7"/>
      <c r="T163" s="7"/>
      <c r="U163" s="7"/>
      <c r="V163" s="11"/>
      <c r="W163" s="11"/>
      <c r="X163" s="16"/>
      <c r="Y163" s="7"/>
      <c r="Z163" s="5"/>
      <c r="AA163" s="67"/>
    </row>
    <row r="164" spans="1:27">
      <c r="A164" s="66"/>
      <c r="B164" s="67"/>
      <c r="C164" s="67"/>
      <c r="D164" s="67"/>
      <c r="E164" s="25"/>
      <c r="F164" s="67"/>
      <c r="G164" s="67"/>
      <c r="H164" s="50"/>
      <c r="I164" s="10"/>
      <c r="J164" s="68"/>
      <c r="K164" s="4"/>
      <c r="L164" s="4"/>
      <c r="M164" s="4"/>
      <c r="N164" s="4"/>
      <c r="O164" s="4"/>
      <c r="P164" s="4"/>
      <c r="Q164" s="4"/>
      <c r="R164" s="4"/>
      <c r="S164" s="7"/>
      <c r="T164" s="7"/>
      <c r="U164" s="7"/>
      <c r="V164" s="11"/>
      <c r="W164" s="11"/>
      <c r="X164" s="16"/>
      <c r="Y164" s="7"/>
      <c r="Z164" s="5"/>
      <c r="AA164" s="67"/>
    </row>
    <row r="165" spans="1:27">
      <c r="A165" s="66"/>
      <c r="B165" s="67"/>
      <c r="C165" s="67"/>
      <c r="D165" s="67"/>
      <c r="E165" s="25"/>
      <c r="F165" s="67"/>
      <c r="G165" s="67"/>
      <c r="H165" s="50"/>
      <c r="I165" s="10"/>
      <c r="J165" s="68"/>
      <c r="K165" s="4"/>
      <c r="L165" s="4"/>
      <c r="M165" s="4"/>
      <c r="N165" s="4"/>
      <c r="O165" s="4"/>
      <c r="P165" s="4"/>
      <c r="Q165" s="4"/>
      <c r="R165" s="4"/>
      <c r="S165" s="7"/>
      <c r="T165" s="7"/>
      <c r="U165" s="7"/>
      <c r="V165" s="11"/>
      <c r="W165" s="11"/>
      <c r="X165" s="16"/>
      <c r="Y165" s="7"/>
      <c r="Z165" s="5"/>
      <c r="AA165" s="67"/>
    </row>
    <row r="166" spans="1:27">
      <c r="A166" s="66"/>
      <c r="B166" s="67"/>
      <c r="C166" s="67"/>
      <c r="D166" s="67"/>
      <c r="E166" s="25"/>
      <c r="F166" s="67"/>
      <c r="G166" s="67"/>
      <c r="H166" s="50"/>
      <c r="I166" s="10"/>
      <c r="J166" s="68"/>
      <c r="K166" s="4"/>
      <c r="L166" s="4"/>
      <c r="M166" s="4"/>
      <c r="N166" s="4"/>
      <c r="O166" s="4"/>
      <c r="P166" s="4"/>
      <c r="Q166" s="4"/>
      <c r="R166" s="4"/>
      <c r="S166" s="7"/>
      <c r="T166" s="7"/>
      <c r="U166" s="7"/>
      <c r="V166" s="11"/>
      <c r="W166" s="11"/>
      <c r="X166" s="16"/>
      <c r="Y166" s="7"/>
      <c r="Z166" s="5"/>
      <c r="AA166" s="67"/>
    </row>
    <row r="167" spans="1:27">
      <c r="A167" s="66"/>
      <c r="B167" s="67"/>
      <c r="C167" s="67"/>
      <c r="D167" s="67"/>
      <c r="E167" s="25"/>
      <c r="F167" s="67"/>
      <c r="G167" s="67"/>
      <c r="H167" s="50"/>
      <c r="I167" s="10"/>
      <c r="J167" s="68"/>
      <c r="K167" s="4"/>
      <c r="L167" s="4"/>
      <c r="M167" s="4"/>
      <c r="N167" s="4"/>
      <c r="O167" s="4"/>
      <c r="P167" s="4"/>
      <c r="Q167" s="4"/>
      <c r="R167" s="4"/>
      <c r="S167" s="7"/>
      <c r="T167" s="7"/>
      <c r="U167" s="7"/>
      <c r="V167" s="11"/>
      <c r="W167" s="11"/>
      <c r="X167" s="16"/>
      <c r="Y167" s="7"/>
      <c r="Z167" s="5"/>
      <c r="AA167" s="67"/>
    </row>
    <row r="168" spans="1:27">
      <c r="A168" s="66"/>
      <c r="B168" s="67"/>
      <c r="C168" s="67"/>
      <c r="D168" s="67"/>
      <c r="E168" s="25"/>
      <c r="F168" s="67"/>
      <c r="G168" s="67"/>
      <c r="H168" s="50"/>
      <c r="I168" s="10"/>
      <c r="J168" s="68"/>
      <c r="K168" s="4"/>
      <c r="L168" s="4"/>
      <c r="M168" s="4"/>
      <c r="N168" s="4"/>
      <c r="O168" s="4"/>
      <c r="P168" s="4"/>
      <c r="Q168" s="4"/>
      <c r="R168" s="4"/>
      <c r="S168" s="7"/>
      <c r="T168" s="7"/>
      <c r="U168" s="7"/>
      <c r="V168" s="11"/>
      <c r="W168" s="11"/>
      <c r="X168" s="16"/>
      <c r="Y168" s="7"/>
      <c r="Z168" s="5"/>
      <c r="AA168" s="67"/>
    </row>
    <row r="169" spans="1:27">
      <c r="A169" s="66"/>
      <c r="B169" s="67"/>
      <c r="C169" s="67"/>
      <c r="D169" s="67"/>
      <c r="E169" s="25"/>
      <c r="F169" s="67"/>
      <c r="G169" s="67"/>
      <c r="H169" s="50"/>
      <c r="I169" s="10"/>
      <c r="J169" s="68"/>
      <c r="K169" s="4"/>
      <c r="L169" s="4"/>
      <c r="M169" s="4"/>
      <c r="N169" s="4"/>
      <c r="O169" s="4"/>
      <c r="P169" s="4"/>
      <c r="Q169" s="4"/>
      <c r="R169" s="4"/>
      <c r="S169" s="7"/>
      <c r="T169" s="7"/>
      <c r="U169" s="7"/>
      <c r="V169" s="11"/>
      <c r="W169" s="11"/>
      <c r="X169" s="16"/>
      <c r="Y169" s="7"/>
      <c r="Z169" s="5"/>
      <c r="AA169" s="67"/>
    </row>
    <row r="170" spans="1:27">
      <c r="A170" s="66"/>
      <c r="B170" s="67"/>
      <c r="C170" s="67"/>
      <c r="D170" s="67"/>
      <c r="E170" s="25"/>
      <c r="F170" s="67"/>
      <c r="G170" s="67"/>
      <c r="H170" s="50"/>
      <c r="I170" s="10"/>
      <c r="J170" s="68"/>
      <c r="K170" s="4"/>
      <c r="L170" s="4"/>
      <c r="M170" s="4"/>
      <c r="N170" s="4"/>
      <c r="O170" s="4"/>
      <c r="P170" s="4"/>
      <c r="Q170" s="4"/>
      <c r="R170" s="4"/>
      <c r="S170" s="7"/>
      <c r="T170" s="7"/>
      <c r="U170" s="7"/>
      <c r="V170" s="11"/>
      <c r="W170" s="11"/>
      <c r="X170" s="16"/>
      <c r="Y170" s="7"/>
      <c r="Z170" s="5"/>
      <c r="AA170" s="67"/>
    </row>
    <row r="171" spans="1:27">
      <c r="A171" s="66"/>
      <c r="B171" s="67"/>
      <c r="C171" s="67"/>
      <c r="D171" s="67"/>
      <c r="E171" s="25"/>
      <c r="F171" s="67"/>
      <c r="G171" s="67"/>
      <c r="H171" s="50"/>
      <c r="I171" s="10"/>
      <c r="J171" s="68"/>
      <c r="K171" s="4"/>
      <c r="L171" s="4"/>
      <c r="M171" s="4"/>
      <c r="N171" s="4"/>
      <c r="O171" s="4"/>
      <c r="P171" s="4"/>
      <c r="Q171" s="4"/>
      <c r="R171" s="4"/>
      <c r="S171" s="7"/>
      <c r="T171" s="7"/>
      <c r="U171" s="7"/>
      <c r="V171" s="11"/>
      <c r="W171" s="11"/>
      <c r="X171" s="16"/>
      <c r="Y171" s="7"/>
      <c r="Z171" s="5"/>
      <c r="AA171" s="67"/>
    </row>
    <row r="172" spans="1:27">
      <c r="A172" s="66"/>
      <c r="B172" s="67"/>
      <c r="C172" s="67"/>
      <c r="D172" s="67"/>
      <c r="E172" s="25"/>
      <c r="F172" s="67"/>
      <c r="G172" s="67"/>
      <c r="H172" s="50"/>
      <c r="I172" s="10"/>
      <c r="J172" s="68"/>
      <c r="K172" s="4"/>
      <c r="L172" s="4"/>
      <c r="M172" s="4"/>
      <c r="N172" s="4"/>
      <c r="O172" s="4"/>
      <c r="P172" s="4"/>
      <c r="Q172" s="4"/>
      <c r="R172" s="4"/>
      <c r="S172" s="7"/>
      <c r="T172" s="7"/>
      <c r="U172" s="7"/>
      <c r="V172" s="11"/>
      <c r="W172" s="11"/>
      <c r="X172" s="16"/>
      <c r="Y172" s="7"/>
      <c r="Z172" s="5"/>
      <c r="AA172" s="67"/>
    </row>
    <row r="173" spans="1:27">
      <c r="A173" s="66"/>
      <c r="B173" s="67"/>
      <c r="C173" s="67"/>
      <c r="D173" s="67"/>
      <c r="E173" s="25"/>
      <c r="F173" s="67"/>
      <c r="G173" s="67"/>
      <c r="H173" s="50"/>
      <c r="I173" s="10"/>
      <c r="J173" s="68"/>
      <c r="K173" s="4"/>
      <c r="L173" s="4"/>
      <c r="M173" s="4"/>
      <c r="N173" s="4"/>
      <c r="O173" s="4"/>
      <c r="P173" s="4"/>
      <c r="Q173" s="4"/>
      <c r="R173" s="4"/>
      <c r="S173" s="7"/>
      <c r="T173" s="7"/>
      <c r="U173" s="7"/>
      <c r="V173" s="11"/>
      <c r="W173" s="11"/>
      <c r="X173" s="16"/>
      <c r="Y173" s="7"/>
      <c r="Z173" s="5"/>
      <c r="AA173" s="67"/>
    </row>
    <row r="174" spans="1:27">
      <c r="A174" s="66"/>
      <c r="B174" s="67"/>
      <c r="C174" s="67"/>
      <c r="D174" s="67"/>
      <c r="E174" s="25"/>
      <c r="F174" s="67"/>
      <c r="G174" s="67"/>
      <c r="H174" s="50"/>
      <c r="I174" s="10"/>
      <c r="J174" s="68"/>
      <c r="K174" s="4"/>
      <c r="L174" s="4"/>
      <c r="M174" s="4"/>
      <c r="N174" s="4"/>
      <c r="O174" s="4"/>
      <c r="P174" s="4"/>
      <c r="Q174" s="4"/>
      <c r="R174" s="4"/>
      <c r="S174" s="7"/>
      <c r="T174" s="7"/>
      <c r="U174" s="7"/>
      <c r="V174" s="11"/>
      <c r="W174" s="11"/>
      <c r="X174" s="16"/>
      <c r="Y174" s="7"/>
      <c r="Z174" s="5"/>
      <c r="AA174" s="67"/>
    </row>
    <row r="175" spans="1:27">
      <c r="A175" s="66"/>
      <c r="B175" s="67"/>
      <c r="C175" s="67"/>
      <c r="D175" s="67"/>
      <c r="E175" s="25"/>
      <c r="F175" s="67"/>
      <c r="G175" s="67"/>
      <c r="H175" s="50"/>
      <c r="I175" s="10"/>
      <c r="J175" s="68"/>
      <c r="K175" s="4"/>
      <c r="L175" s="4"/>
      <c r="M175" s="4"/>
      <c r="N175" s="4"/>
      <c r="O175" s="4"/>
      <c r="P175" s="4"/>
      <c r="Q175" s="4"/>
      <c r="R175" s="4"/>
      <c r="S175" s="7"/>
      <c r="T175" s="7"/>
      <c r="U175" s="7"/>
      <c r="V175" s="11"/>
      <c r="W175" s="11"/>
      <c r="X175" s="16"/>
      <c r="Y175" s="7"/>
      <c r="Z175" s="5"/>
      <c r="AA175" s="67"/>
    </row>
    <row r="176" spans="1:27">
      <c r="A176" s="66"/>
      <c r="B176" s="67"/>
      <c r="C176" s="67"/>
      <c r="D176" s="67"/>
      <c r="E176" s="25"/>
      <c r="F176" s="67"/>
      <c r="G176" s="67"/>
      <c r="H176" s="50"/>
      <c r="I176" s="10"/>
      <c r="J176" s="68"/>
      <c r="K176" s="4"/>
      <c r="L176" s="4"/>
      <c r="M176" s="4"/>
      <c r="N176" s="4"/>
      <c r="O176" s="4"/>
      <c r="P176" s="4"/>
      <c r="Q176" s="4"/>
      <c r="R176" s="4"/>
      <c r="S176" s="7"/>
      <c r="T176" s="7"/>
      <c r="U176" s="7"/>
      <c r="V176" s="11"/>
      <c r="W176" s="11"/>
      <c r="X176" s="16"/>
      <c r="Y176" s="7"/>
      <c r="Z176" s="5"/>
      <c r="AA176" s="67"/>
    </row>
    <row r="177" spans="1:27">
      <c r="A177" s="66"/>
      <c r="B177" s="67"/>
      <c r="C177" s="67"/>
      <c r="D177" s="67"/>
      <c r="E177" s="25"/>
      <c r="F177" s="67"/>
      <c r="G177" s="67"/>
      <c r="H177" s="50"/>
      <c r="I177" s="10"/>
      <c r="J177" s="68"/>
      <c r="K177" s="4"/>
      <c r="L177" s="4"/>
      <c r="M177" s="4"/>
      <c r="N177" s="4"/>
      <c r="O177" s="4"/>
      <c r="P177" s="4"/>
      <c r="Q177" s="4"/>
      <c r="R177" s="4"/>
      <c r="S177" s="7"/>
      <c r="T177" s="7"/>
      <c r="U177" s="7"/>
      <c r="V177" s="11"/>
      <c r="W177" s="11"/>
      <c r="X177" s="16"/>
      <c r="Y177" s="7"/>
      <c r="Z177" s="5"/>
      <c r="AA177" s="67"/>
    </row>
    <row r="178" spans="1:27">
      <c r="A178" s="66"/>
      <c r="B178" s="67"/>
      <c r="C178" s="67"/>
      <c r="D178" s="67"/>
      <c r="E178" s="25"/>
      <c r="F178" s="67"/>
      <c r="G178" s="67"/>
      <c r="H178" s="50"/>
      <c r="I178" s="10"/>
      <c r="J178" s="68"/>
      <c r="K178" s="4"/>
      <c r="L178" s="4"/>
      <c r="M178" s="4"/>
      <c r="N178" s="4"/>
      <c r="O178" s="4"/>
      <c r="P178" s="4"/>
      <c r="Q178" s="4"/>
      <c r="R178" s="4"/>
      <c r="S178" s="7"/>
      <c r="T178" s="7"/>
      <c r="U178" s="7"/>
      <c r="V178" s="11"/>
      <c r="W178" s="11"/>
      <c r="X178" s="16"/>
      <c r="Y178" s="7"/>
      <c r="Z178" s="5"/>
      <c r="AA178" s="67"/>
    </row>
    <row r="179" spans="1:27">
      <c r="A179" s="66"/>
      <c r="B179" s="67"/>
      <c r="C179" s="67"/>
      <c r="D179" s="67"/>
      <c r="E179" s="25"/>
      <c r="F179" s="67"/>
      <c r="G179" s="67"/>
      <c r="H179" s="50"/>
      <c r="I179" s="10"/>
      <c r="J179" s="68"/>
      <c r="K179" s="4"/>
      <c r="L179" s="4"/>
      <c r="M179" s="4"/>
      <c r="N179" s="4"/>
      <c r="O179" s="4"/>
      <c r="P179" s="4"/>
      <c r="Q179" s="4"/>
      <c r="R179" s="4"/>
      <c r="S179" s="7"/>
      <c r="T179" s="7"/>
      <c r="U179" s="7"/>
      <c r="V179" s="11"/>
      <c r="W179" s="11"/>
      <c r="X179" s="16"/>
      <c r="Y179" s="7"/>
      <c r="Z179" s="5"/>
      <c r="AA179" s="67"/>
    </row>
    <row r="180" spans="1:27">
      <c r="A180" s="66"/>
      <c r="B180" s="67"/>
      <c r="C180" s="67"/>
      <c r="D180" s="67"/>
      <c r="E180" s="25"/>
      <c r="F180" s="67"/>
      <c r="G180" s="67"/>
      <c r="H180" s="50"/>
      <c r="I180" s="10"/>
      <c r="J180" s="68"/>
      <c r="K180" s="4"/>
      <c r="L180" s="4"/>
      <c r="M180" s="4"/>
      <c r="N180" s="4"/>
      <c r="O180" s="4"/>
      <c r="P180" s="4"/>
      <c r="Q180" s="4"/>
      <c r="R180" s="4"/>
      <c r="S180" s="7"/>
      <c r="T180" s="7"/>
      <c r="U180" s="7"/>
      <c r="V180" s="11"/>
      <c r="W180" s="11"/>
      <c r="X180" s="16"/>
      <c r="Y180" s="7"/>
      <c r="Z180" s="5"/>
      <c r="AA180" s="67"/>
    </row>
    <row r="181" spans="1:27">
      <c r="A181" s="66"/>
      <c r="B181" s="67"/>
      <c r="C181" s="67"/>
      <c r="D181" s="67"/>
      <c r="E181" s="25"/>
      <c r="F181" s="67"/>
      <c r="G181" s="67"/>
      <c r="H181" s="50"/>
      <c r="I181" s="10"/>
      <c r="J181" s="68"/>
      <c r="K181" s="4"/>
      <c r="L181" s="4"/>
      <c r="M181" s="4"/>
      <c r="N181" s="4"/>
      <c r="O181" s="4"/>
      <c r="P181" s="4"/>
      <c r="Q181" s="4"/>
      <c r="R181" s="4"/>
      <c r="S181" s="7"/>
      <c r="T181" s="7"/>
      <c r="U181" s="7"/>
      <c r="V181" s="11"/>
      <c r="W181" s="11"/>
      <c r="X181" s="16"/>
      <c r="Y181" s="7"/>
      <c r="Z181" s="5"/>
      <c r="AA181" s="67"/>
    </row>
    <row r="182" spans="1:27">
      <c r="A182" s="66"/>
      <c r="B182" s="67"/>
      <c r="C182" s="67"/>
      <c r="D182" s="67"/>
      <c r="E182" s="25"/>
      <c r="F182" s="67"/>
      <c r="G182" s="67"/>
      <c r="H182" s="50"/>
      <c r="I182" s="10"/>
      <c r="J182" s="68"/>
      <c r="K182" s="4"/>
      <c r="L182" s="4"/>
      <c r="M182" s="4"/>
      <c r="N182" s="4"/>
      <c r="O182" s="4"/>
      <c r="P182" s="4"/>
      <c r="Q182" s="4"/>
      <c r="R182" s="4"/>
      <c r="S182" s="7"/>
      <c r="T182" s="7"/>
      <c r="U182" s="7"/>
      <c r="V182" s="11"/>
      <c r="W182" s="11"/>
      <c r="X182" s="16"/>
      <c r="Y182" s="7"/>
      <c r="Z182" s="5"/>
      <c r="AA182" s="67"/>
    </row>
    <row r="183" spans="1:27">
      <c r="A183" s="66"/>
      <c r="B183" s="67"/>
      <c r="C183" s="67"/>
      <c r="D183" s="67"/>
      <c r="E183" s="25"/>
      <c r="F183" s="67"/>
      <c r="G183" s="67"/>
      <c r="H183" s="50"/>
      <c r="I183" s="10"/>
      <c r="J183" s="68"/>
      <c r="K183" s="4"/>
      <c r="L183" s="4"/>
      <c r="M183" s="4"/>
      <c r="N183" s="4"/>
      <c r="O183" s="4"/>
      <c r="P183" s="4"/>
      <c r="Q183" s="4"/>
      <c r="R183" s="4"/>
      <c r="S183" s="7"/>
      <c r="T183" s="7"/>
      <c r="U183" s="7"/>
      <c r="V183" s="11"/>
      <c r="W183" s="11"/>
      <c r="X183" s="16"/>
      <c r="Y183" s="7"/>
      <c r="Z183" s="5"/>
      <c r="AA183" s="67"/>
    </row>
    <row r="184" spans="1:27">
      <c r="A184" s="66"/>
      <c r="B184" s="67"/>
      <c r="C184" s="67"/>
      <c r="D184" s="67"/>
      <c r="E184" s="25"/>
      <c r="F184" s="67"/>
      <c r="G184" s="67"/>
      <c r="H184" s="50"/>
      <c r="I184" s="10"/>
      <c r="J184" s="68"/>
      <c r="K184" s="4"/>
      <c r="L184" s="4"/>
      <c r="M184" s="4"/>
      <c r="N184" s="4"/>
      <c r="O184" s="4"/>
      <c r="P184" s="4"/>
      <c r="Q184" s="4"/>
      <c r="R184" s="4"/>
      <c r="S184" s="7"/>
      <c r="T184" s="7"/>
      <c r="U184" s="7"/>
      <c r="V184" s="11"/>
      <c r="W184" s="11"/>
      <c r="X184" s="16"/>
      <c r="Y184" s="7"/>
      <c r="Z184" s="5"/>
      <c r="AA184" s="67"/>
    </row>
    <row r="185" spans="1:27">
      <c r="A185" s="66"/>
      <c r="B185" s="67"/>
      <c r="C185" s="67"/>
      <c r="D185" s="67"/>
      <c r="E185" s="25"/>
      <c r="F185" s="67"/>
      <c r="G185" s="67"/>
      <c r="H185" s="50"/>
      <c r="I185" s="10"/>
      <c r="J185" s="68"/>
      <c r="K185" s="4"/>
      <c r="L185" s="4"/>
      <c r="M185" s="4"/>
      <c r="N185" s="4"/>
      <c r="O185" s="4"/>
      <c r="P185" s="4"/>
      <c r="Q185" s="4"/>
      <c r="R185" s="4"/>
      <c r="S185" s="7"/>
      <c r="T185" s="7"/>
      <c r="U185" s="7"/>
      <c r="V185" s="11"/>
      <c r="W185" s="11"/>
      <c r="X185" s="16"/>
      <c r="Y185" s="7"/>
      <c r="Z185" s="5"/>
      <c r="AA185" s="67"/>
    </row>
    <row r="186" spans="1:27">
      <c r="A186" s="66"/>
      <c r="B186" s="67"/>
      <c r="C186" s="67"/>
      <c r="D186" s="67"/>
      <c r="E186" s="25"/>
      <c r="F186" s="67"/>
      <c r="G186" s="67"/>
      <c r="H186" s="50"/>
      <c r="I186" s="10"/>
      <c r="J186" s="68"/>
      <c r="K186" s="4"/>
      <c r="L186" s="4"/>
      <c r="M186" s="4"/>
      <c r="N186" s="4"/>
      <c r="O186" s="4"/>
      <c r="P186" s="4"/>
      <c r="Q186" s="4"/>
      <c r="R186" s="4"/>
      <c r="S186" s="7"/>
      <c r="T186" s="7"/>
      <c r="U186" s="7"/>
      <c r="V186" s="11"/>
      <c r="W186" s="11"/>
      <c r="X186" s="16"/>
      <c r="Y186" s="7"/>
      <c r="Z186" s="5"/>
      <c r="AA186" s="67"/>
    </row>
    <row r="187" spans="1:27">
      <c r="A187" s="66"/>
      <c r="B187" s="67"/>
      <c r="C187" s="67"/>
      <c r="D187" s="67"/>
      <c r="E187" s="25"/>
      <c r="F187" s="67"/>
      <c r="G187" s="67"/>
      <c r="H187" s="50"/>
      <c r="I187" s="10"/>
      <c r="J187" s="68"/>
      <c r="K187" s="4"/>
      <c r="L187" s="4"/>
      <c r="M187" s="4"/>
      <c r="N187" s="4"/>
      <c r="O187" s="4"/>
      <c r="P187" s="4"/>
      <c r="Q187" s="4"/>
      <c r="R187" s="4"/>
      <c r="S187" s="7"/>
      <c r="T187" s="7"/>
      <c r="U187" s="7"/>
      <c r="V187" s="11"/>
      <c r="W187" s="11"/>
      <c r="X187" s="16"/>
      <c r="Y187" s="7"/>
      <c r="Z187" s="5"/>
      <c r="AA187" s="67"/>
    </row>
    <row r="188" spans="1:27">
      <c r="A188" s="66"/>
      <c r="B188" s="67"/>
      <c r="C188" s="67"/>
      <c r="D188" s="67"/>
      <c r="E188" s="25"/>
      <c r="F188" s="67"/>
      <c r="G188" s="67"/>
      <c r="H188" s="50"/>
      <c r="I188" s="10"/>
      <c r="J188" s="68"/>
      <c r="K188" s="4"/>
      <c r="L188" s="4"/>
      <c r="M188" s="4"/>
      <c r="N188" s="4"/>
      <c r="O188" s="4"/>
      <c r="P188" s="4"/>
      <c r="Q188" s="4"/>
      <c r="R188" s="4"/>
      <c r="S188" s="7"/>
      <c r="T188" s="7"/>
      <c r="U188" s="7"/>
      <c r="V188" s="11"/>
      <c r="W188" s="11"/>
      <c r="X188" s="16"/>
      <c r="Y188" s="7"/>
      <c r="Z188" s="5"/>
      <c r="AA188" s="67"/>
    </row>
    <row r="189" spans="1:27">
      <c r="A189" s="66"/>
      <c r="B189" s="67"/>
      <c r="C189" s="67"/>
      <c r="D189" s="67"/>
      <c r="E189" s="25"/>
      <c r="F189" s="67"/>
      <c r="G189" s="67"/>
      <c r="H189" s="50"/>
      <c r="I189" s="10"/>
      <c r="J189" s="68"/>
      <c r="K189" s="4"/>
      <c r="L189" s="4"/>
      <c r="M189" s="4"/>
      <c r="N189" s="4"/>
      <c r="O189" s="4"/>
      <c r="P189" s="4"/>
      <c r="Q189" s="4"/>
      <c r="R189" s="4"/>
      <c r="S189" s="7"/>
      <c r="T189" s="7"/>
      <c r="U189" s="7"/>
      <c r="V189" s="11"/>
      <c r="W189" s="11"/>
      <c r="X189" s="16"/>
      <c r="Y189" s="7"/>
      <c r="Z189" s="5"/>
      <c r="AA189" s="67"/>
    </row>
    <row r="190" spans="1:27">
      <c r="A190" s="66"/>
      <c r="B190" s="67"/>
      <c r="C190" s="67"/>
      <c r="D190" s="67"/>
      <c r="E190" s="25"/>
      <c r="F190" s="67"/>
      <c r="G190" s="67"/>
      <c r="H190" s="50"/>
      <c r="I190" s="10"/>
      <c r="J190" s="68"/>
      <c r="K190" s="4"/>
      <c r="L190" s="4"/>
      <c r="M190" s="4"/>
      <c r="N190" s="4"/>
      <c r="O190" s="4"/>
      <c r="P190" s="4"/>
      <c r="Q190" s="4"/>
      <c r="R190" s="4"/>
      <c r="S190" s="7"/>
      <c r="T190" s="7"/>
      <c r="U190" s="7"/>
      <c r="V190" s="11"/>
      <c r="W190" s="11"/>
      <c r="X190" s="16"/>
      <c r="Y190" s="7"/>
      <c r="Z190" s="5"/>
      <c r="AA190" s="67"/>
    </row>
    <row r="191" spans="1:27">
      <c r="A191" s="66"/>
      <c r="B191" s="67"/>
      <c r="C191" s="67"/>
      <c r="D191" s="67"/>
      <c r="E191" s="25"/>
      <c r="F191" s="67"/>
      <c r="G191" s="67"/>
      <c r="H191" s="50"/>
      <c r="I191" s="10"/>
      <c r="J191" s="68"/>
      <c r="K191" s="4"/>
      <c r="L191" s="4"/>
      <c r="M191" s="4"/>
      <c r="N191" s="4"/>
      <c r="O191" s="4"/>
      <c r="P191" s="4"/>
      <c r="Q191" s="4"/>
      <c r="R191" s="4"/>
      <c r="S191" s="7"/>
      <c r="T191" s="7"/>
      <c r="U191" s="7"/>
      <c r="V191" s="11"/>
      <c r="W191" s="11"/>
      <c r="X191" s="16"/>
      <c r="Y191" s="7"/>
      <c r="Z191" s="5"/>
      <c r="AA191" s="67"/>
    </row>
    <row r="192" spans="1:27">
      <c r="A192" s="66"/>
      <c r="B192" s="67"/>
      <c r="C192" s="67"/>
      <c r="D192" s="67"/>
      <c r="E192" s="25"/>
      <c r="F192" s="67"/>
      <c r="G192" s="67"/>
      <c r="H192" s="50"/>
      <c r="I192" s="10"/>
      <c r="J192" s="68"/>
      <c r="K192" s="4"/>
      <c r="L192" s="4"/>
      <c r="M192" s="4"/>
      <c r="N192" s="4"/>
      <c r="O192" s="4"/>
      <c r="P192" s="4"/>
      <c r="Q192" s="4"/>
      <c r="R192" s="4"/>
      <c r="S192" s="7"/>
      <c r="T192" s="7"/>
      <c r="U192" s="7"/>
      <c r="V192" s="11"/>
      <c r="W192" s="11"/>
      <c r="X192" s="16"/>
      <c r="Y192" s="7"/>
      <c r="Z192" s="5"/>
      <c r="AA192" s="67"/>
    </row>
    <row r="193" spans="1:27">
      <c r="A193" s="66"/>
      <c r="B193" s="67"/>
      <c r="C193" s="67"/>
      <c r="D193" s="67"/>
      <c r="E193" s="25"/>
      <c r="F193" s="67"/>
      <c r="G193" s="67"/>
      <c r="H193" s="50"/>
      <c r="I193" s="10"/>
      <c r="J193" s="68"/>
      <c r="K193" s="4"/>
      <c r="L193" s="4"/>
      <c r="M193" s="4"/>
      <c r="N193" s="4"/>
      <c r="O193" s="4"/>
      <c r="P193" s="4"/>
      <c r="Q193" s="4"/>
      <c r="R193" s="4"/>
      <c r="S193" s="7"/>
      <c r="T193" s="7"/>
      <c r="U193" s="7"/>
      <c r="V193" s="11"/>
      <c r="W193" s="11"/>
      <c r="X193" s="16"/>
      <c r="Y193" s="7"/>
      <c r="Z193" s="5"/>
      <c r="AA193" s="67"/>
    </row>
    <row r="194" spans="1:27">
      <c r="A194" s="66"/>
      <c r="B194" s="67"/>
      <c r="C194" s="67"/>
      <c r="D194" s="67"/>
      <c r="E194" s="25"/>
      <c r="F194" s="67"/>
      <c r="G194" s="67"/>
      <c r="H194" s="50"/>
      <c r="I194" s="10"/>
      <c r="J194" s="68"/>
      <c r="K194" s="4"/>
      <c r="L194" s="4"/>
      <c r="M194" s="4"/>
      <c r="N194" s="4"/>
      <c r="O194" s="4"/>
      <c r="P194" s="4"/>
      <c r="Q194" s="4"/>
      <c r="R194" s="4"/>
      <c r="S194" s="7"/>
      <c r="T194" s="7"/>
      <c r="U194" s="7"/>
      <c r="V194" s="11"/>
      <c r="W194" s="11"/>
      <c r="X194" s="16"/>
      <c r="Y194" s="7"/>
      <c r="Z194" s="5"/>
      <c r="AA194" s="67"/>
    </row>
    <row r="195" spans="1:27">
      <c r="A195" s="66"/>
      <c r="B195" s="67"/>
      <c r="C195" s="67"/>
      <c r="D195" s="67"/>
      <c r="E195" s="25"/>
      <c r="F195" s="67"/>
      <c r="G195" s="67"/>
      <c r="H195" s="50"/>
      <c r="I195" s="10"/>
      <c r="J195" s="68"/>
      <c r="K195" s="4"/>
      <c r="L195" s="4"/>
      <c r="M195" s="4"/>
      <c r="N195" s="4"/>
      <c r="O195" s="4"/>
      <c r="P195" s="4"/>
      <c r="Q195" s="4"/>
      <c r="R195" s="4"/>
      <c r="S195" s="7"/>
      <c r="T195" s="7"/>
      <c r="U195" s="7"/>
      <c r="V195" s="11"/>
      <c r="W195" s="11"/>
      <c r="X195" s="16"/>
      <c r="Y195" s="7"/>
      <c r="Z195" s="5"/>
      <c r="AA195" s="67"/>
    </row>
    <row r="196" spans="1:27">
      <c r="A196" s="66"/>
      <c r="B196" s="67"/>
      <c r="C196" s="67"/>
      <c r="D196" s="67"/>
      <c r="E196" s="25"/>
      <c r="F196" s="67"/>
      <c r="G196" s="67"/>
      <c r="H196" s="50"/>
      <c r="I196" s="10"/>
      <c r="J196" s="68"/>
      <c r="K196" s="4"/>
      <c r="L196" s="4"/>
      <c r="M196" s="4"/>
      <c r="N196" s="4"/>
      <c r="O196" s="4"/>
      <c r="P196" s="4"/>
      <c r="Q196" s="4"/>
      <c r="R196" s="4"/>
      <c r="S196" s="7"/>
      <c r="T196" s="7"/>
      <c r="U196" s="7"/>
      <c r="V196" s="11"/>
      <c r="W196" s="11"/>
      <c r="X196" s="16"/>
      <c r="Y196" s="7"/>
      <c r="Z196" s="5"/>
      <c r="AA196" s="67"/>
    </row>
    <row r="197" spans="1:27">
      <c r="A197" s="66"/>
      <c r="B197" s="67"/>
      <c r="C197" s="67"/>
      <c r="D197" s="67"/>
      <c r="E197" s="25"/>
      <c r="F197" s="67"/>
      <c r="G197" s="67"/>
      <c r="H197" s="50"/>
      <c r="I197" s="10"/>
      <c r="J197" s="68"/>
      <c r="K197" s="4"/>
      <c r="L197" s="4"/>
      <c r="M197" s="4"/>
      <c r="N197" s="4"/>
      <c r="O197" s="4"/>
      <c r="P197" s="4"/>
      <c r="Q197" s="4"/>
      <c r="R197" s="4"/>
      <c r="S197" s="7"/>
      <c r="T197" s="7"/>
      <c r="U197" s="7"/>
      <c r="V197" s="11"/>
      <c r="W197" s="11"/>
      <c r="X197" s="16"/>
      <c r="Y197" s="7"/>
      <c r="Z197" s="5"/>
      <c r="AA197" s="67"/>
    </row>
    <row r="198" spans="1:27">
      <c r="A198" s="66"/>
      <c r="B198" s="67"/>
      <c r="C198" s="67"/>
      <c r="D198" s="67"/>
      <c r="E198" s="25"/>
      <c r="F198" s="67"/>
      <c r="G198" s="67"/>
      <c r="H198" s="50"/>
      <c r="I198" s="10"/>
      <c r="J198" s="68"/>
      <c r="K198" s="4"/>
      <c r="L198" s="4"/>
      <c r="M198" s="4"/>
      <c r="N198" s="4"/>
      <c r="O198" s="4"/>
      <c r="P198" s="4"/>
      <c r="Q198" s="4"/>
      <c r="R198" s="4"/>
      <c r="S198" s="7"/>
      <c r="T198" s="7"/>
      <c r="U198" s="7"/>
      <c r="V198" s="11"/>
      <c r="W198" s="11"/>
      <c r="X198" s="16"/>
      <c r="Y198" s="7"/>
      <c r="Z198" s="5"/>
      <c r="AA198" s="67"/>
    </row>
    <row r="199" spans="1:27">
      <c r="A199" s="66"/>
      <c r="B199" s="67"/>
      <c r="C199" s="67"/>
      <c r="D199" s="67"/>
      <c r="E199" s="25"/>
      <c r="F199" s="67"/>
      <c r="G199" s="67"/>
      <c r="H199" s="50"/>
      <c r="I199" s="10"/>
      <c r="J199" s="68"/>
      <c r="K199" s="4"/>
      <c r="L199" s="4"/>
      <c r="M199" s="4"/>
      <c r="N199" s="4"/>
      <c r="O199" s="4"/>
      <c r="P199" s="4"/>
      <c r="Q199" s="4"/>
      <c r="R199" s="4"/>
      <c r="S199" s="7"/>
      <c r="T199" s="7"/>
      <c r="U199" s="7"/>
      <c r="V199" s="11"/>
      <c r="W199" s="11"/>
      <c r="X199" s="16"/>
      <c r="Y199" s="7"/>
      <c r="Z199" s="5"/>
      <c r="AA199" s="67"/>
    </row>
    <row r="200" spans="1:27">
      <c r="A200" s="66"/>
      <c r="B200" s="67"/>
      <c r="C200" s="67"/>
      <c r="D200" s="67"/>
      <c r="E200" s="25"/>
      <c r="F200" s="67"/>
      <c r="G200" s="67"/>
      <c r="H200" s="50"/>
      <c r="I200" s="10"/>
      <c r="J200" s="68"/>
      <c r="K200" s="4"/>
      <c r="L200" s="4"/>
      <c r="M200" s="4"/>
      <c r="N200" s="4"/>
      <c r="O200" s="4"/>
      <c r="P200" s="4"/>
      <c r="Q200" s="4"/>
      <c r="R200" s="4"/>
      <c r="S200" s="7"/>
      <c r="T200" s="7"/>
      <c r="U200" s="7"/>
      <c r="V200" s="11"/>
      <c r="W200" s="11"/>
      <c r="X200" s="16"/>
      <c r="Y200" s="7"/>
      <c r="Z200" s="5"/>
      <c r="AA200" s="67"/>
    </row>
    <row r="201" spans="1:27">
      <c r="A201" s="66"/>
      <c r="B201" s="67"/>
      <c r="C201" s="67"/>
      <c r="D201" s="67"/>
      <c r="E201" s="25"/>
      <c r="F201" s="67"/>
      <c r="G201" s="67"/>
      <c r="H201" s="50"/>
      <c r="I201" s="10"/>
      <c r="J201" s="68"/>
      <c r="K201" s="4"/>
      <c r="L201" s="4"/>
      <c r="M201" s="4"/>
      <c r="N201" s="4"/>
      <c r="O201" s="4"/>
      <c r="P201" s="4"/>
      <c r="Q201" s="4"/>
      <c r="R201" s="4"/>
      <c r="S201" s="7"/>
      <c r="T201" s="7"/>
      <c r="U201" s="7"/>
      <c r="V201" s="11"/>
      <c r="W201" s="11"/>
      <c r="X201" s="16"/>
      <c r="Y201" s="7"/>
      <c r="Z201" s="5"/>
      <c r="AA201" s="67"/>
    </row>
    <row r="202" spans="1:27">
      <c r="A202" s="66"/>
      <c r="B202" s="67"/>
      <c r="C202" s="67"/>
      <c r="D202" s="67"/>
      <c r="E202" s="25"/>
      <c r="F202" s="67"/>
      <c r="G202" s="67"/>
      <c r="H202" s="50"/>
      <c r="I202" s="10"/>
      <c r="J202" s="68"/>
      <c r="K202" s="4"/>
      <c r="L202" s="4"/>
      <c r="M202" s="4"/>
      <c r="N202" s="4"/>
      <c r="O202" s="4"/>
      <c r="P202" s="4"/>
      <c r="Q202" s="4"/>
      <c r="R202" s="4"/>
      <c r="S202" s="7"/>
      <c r="T202" s="7"/>
      <c r="U202" s="7"/>
      <c r="V202" s="11"/>
      <c r="W202" s="11"/>
      <c r="X202" s="16"/>
      <c r="Y202" s="7"/>
      <c r="Z202" s="5"/>
      <c r="AA202" s="67"/>
    </row>
    <row r="203" spans="1:27">
      <c r="A203" s="66"/>
      <c r="B203" s="67"/>
      <c r="C203" s="67"/>
      <c r="D203" s="67"/>
      <c r="E203" s="25"/>
      <c r="F203" s="67"/>
      <c r="G203" s="67"/>
      <c r="H203" s="50"/>
      <c r="I203" s="10"/>
      <c r="J203" s="68"/>
      <c r="K203" s="4"/>
      <c r="L203" s="4"/>
      <c r="M203" s="4"/>
      <c r="N203" s="4"/>
      <c r="O203" s="4"/>
      <c r="P203" s="4"/>
      <c r="Q203" s="4"/>
      <c r="R203" s="4"/>
      <c r="S203" s="7"/>
      <c r="T203" s="7"/>
      <c r="U203" s="7"/>
      <c r="V203" s="11"/>
      <c r="W203" s="11"/>
      <c r="X203" s="16"/>
      <c r="Y203" s="7"/>
      <c r="Z203" s="5"/>
      <c r="AA203" s="67"/>
    </row>
    <row r="204" spans="1:27">
      <c r="A204" s="66"/>
      <c r="B204" s="67"/>
      <c r="C204" s="67"/>
      <c r="D204" s="67"/>
      <c r="E204" s="25"/>
      <c r="F204" s="67"/>
      <c r="G204" s="67"/>
      <c r="H204" s="50"/>
      <c r="I204" s="10"/>
      <c r="J204" s="68"/>
      <c r="K204" s="4"/>
      <c r="L204" s="4"/>
      <c r="M204" s="4"/>
      <c r="N204" s="4"/>
      <c r="O204" s="4"/>
      <c r="P204" s="4"/>
      <c r="Q204" s="4"/>
      <c r="R204" s="4"/>
      <c r="S204" s="7"/>
      <c r="T204" s="7"/>
      <c r="U204" s="7"/>
      <c r="V204" s="11"/>
      <c r="W204" s="11"/>
      <c r="X204" s="16"/>
      <c r="Y204" s="7"/>
      <c r="Z204" s="5"/>
      <c r="AA204" s="67"/>
    </row>
    <row r="205" spans="1:27">
      <c r="A205" s="66"/>
      <c r="B205" s="67"/>
      <c r="C205" s="67"/>
      <c r="D205" s="67"/>
      <c r="E205" s="25"/>
      <c r="F205" s="67"/>
      <c r="G205" s="67"/>
      <c r="H205" s="50"/>
      <c r="I205" s="10"/>
      <c r="J205" s="68"/>
      <c r="K205" s="4"/>
      <c r="L205" s="4"/>
      <c r="M205" s="4"/>
      <c r="N205" s="4"/>
      <c r="O205" s="4"/>
      <c r="P205" s="4"/>
      <c r="Q205" s="4"/>
      <c r="R205" s="4"/>
      <c r="S205" s="7"/>
      <c r="T205" s="7"/>
      <c r="U205" s="7"/>
      <c r="V205" s="11"/>
      <c r="W205" s="11"/>
      <c r="X205" s="16"/>
      <c r="Y205" s="7"/>
      <c r="Z205" s="5"/>
      <c r="AA205" s="67"/>
    </row>
    <row r="206" spans="1:27">
      <c r="A206" s="66"/>
      <c r="B206" s="67"/>
      <c r="C206" s="67"/>
      <c r="D206" s="67"/>
      <c r="E206" s="25"/>
      <c r="F206" s="67"/>
      <c r="G206" s="67"/>
      <c r="H206" s="50"/>
      <c r="I206" s="10"/>
      <c r="J206" s="68"/>
      <c r="K206" s="4"/>
      <c r="L206" s="4"/>
      <c r="M206" s="4"/>
      <c r="N206" s="4"/>
      <c r="O206" s="4"/>
      <c r="P206" s="4"/>
      <c r="Q206" s="4"/>
      <c r="R206" s="4"/>
      <c r="S206" s="7"/>
      <c r="T206" s="7"/>
      <c r="U206" s="7"/>
      <c r="V206" s="11"/>
      <c r="W206" s="11"/>
      <c r="X206" s="16"/>
      <c r="Y206" s="7"/>
      <c r="Z206" s="5"/>
      <c r="AA206" s="67"/>
    </row>
    <row r="207" spans="1:27">
      <c r="A207" s="66"/>
      <c r="B207" s="67"/>
      <c r="C207" s="67"/>
      <c r="D207" s="67"/>
      <c r="E207" s="25"/>
      <c r="F207" s="67"/>
      <c r="G207" s="67"/>
      <c r="H207" s="50"/>
      <c r="I207" s="10"/>
      <c r="J207" s="68"/>
      <c r="K207" s="4"/>
      <c r="L207" s="4"/>
      <c r="M207" s="4"/>
      <c r="N207" s="4"/>
      <c r="O207" s="4"/>
      <c r="P207" s="4"/>
      <c r="Q207" s="4"/>
      <c r="R207" s="4"/>
      <c r="S207" s="7"/>
      <c r="T207" s="7"/>
      <c r="U207" s="7"/>
      <c r="V207" s="11"/>
      <c r="W207" s="11"/>
      <c r="X207" s="16"/>
      <c r="Y207" s="7"/>
      <c r="Z207" s="5"/>
      <c r="AA207" s="67"/>
    </row>
    <row r="208" spans="1:27">
      <c r="A208" s="66"/>
      <c r="B208" s="67"/>
      <c r="C208" s="67"/>
      <c r="D208" s="67"/>
      <c r="E208" s="25"/>
      <c r="F208" s="67"/>
      <c r="G208" s="67"/>
      <c r="H208" s="50"/>
      <c r="I208" s="10"/>
      <c r="J208" s="68"/>
      <c r="K208" s="4"/>
      <c r="L208" s="4"/>
      <c r="M208" s="4"/>
      <c r="N208" s="4"/>
      <c r="O208" s="4"/>
      <c r="P208" s="4"/>
      <c r="Q208" s="4"/>
      <c r="R208" s="4"/>
      <c r="S208" s="7"/>
      <c r="T208" s="7"/>
      <c r="U208" s="7"/>
      <c r="V208" s="11"/>
      <c r="W208" s="11"/>
      <c r="X208" s="16"/>
      <c r="Y208" s="7"/>
      <c r="Z208" s="5"/>
      <c r="AA208" s="67"/>
    </row>
    <row r="209" spans="1:27">
      <c r="A209" s="66"/>
      <c r="B209" s="67"/>
      <c r="C209" s="67"/>
      <c r="D209" s="67"/>
      <c r="E209" s="25"/>
      <c r="F209" s="67"/>
      <c r="G209" s="67"/>
      <c r="H209" s="50"/>
      <c r="I209" s="10"/>
      <c r="J209" s="68"/>
      <c r="K209" s="4"/>
      <c r="L209" s="4"/>
      <c r="M209" s="4"/>
      <c r="N209" s="4"/>
      <c r="O209" s="4"/>
      <c r="P209" s="4"/>
      <c r="Q209" s="4"/>
      <c r="R209" s="4"/>
      <c r="S209" s="7"/>
      <c r="T209" s="7"/>
      <c r="U209" s="7"/>
      <c r="V209" s="11"/>
      <c r="W209" s="11"/>
      <c r="X209" s="16"/>
      <c r="Y209" s="7"/>
      <c r="Z209" s="5"/>
      <c r="AA209" s="67"/>
    </row>
    <row r="210" spans="1:27">
      <c r="A210" s="66"/>
      <c r="B210" s="67"/>
      <c r="C210" s="67"/>
      <c r="D210" s="67"/>
      <c r="E210" s="25"/>
      <c r="F210" s="67"/>
      <c r="G210" s="67"/>
      <c r="H210" s="50"/>
      <c r="I210" s="10"/>
      <c r="J210" s="68"/>
      <c r="K210" s="4"/>
      <c r="L210" s="4"/>
      <c r="M210" s="4"/>
      <c r="N210" s="4"/>
      <c r="O210" s="4"/>
      <c r="P210" s="4"/>
      <c r="Q210" s="4"/>
      <c r="R210" s="4"/>
      <c r="S210" s="7"/>
      <c r="T210" s="7"/>
      <c r="U210" s="7"/>
      <c r="V210" s="11"/>
      <c r="W210" s="11"/>
      <c r="X210" s="16"/>
      <c r="Y210" s="7"/>
      <c r="Z210" s="5"/>
      <c r="AA210" s="67"/>
    </row>
    <row r="211" spans="1:27">
      <c r="A211" s="66"/>
      <c r="B211" s="67"/>
      <c r="C211" s="67"/>
      <c r="D211" s="67"/>
      <c r="E211" s="25"/>
      <c r="F211" s="67"/>
      <c r="G211" s="67"/>
      <c r="H211" s="50"/>
      <c r="I211" s="10"/>
      <c r="J211" s="68"/>
      <c r="K211" s="4"/>
      <c r="L211" s="4"/>
      <c r="M211" s="4"/>
      <c r="N211" s="4"/>
      <c r="O211" s="4"/>
      <c r="P211" s="4"/>
      <c r="Q211" s="4"/>
      <c r="R211" s="4"/>
      <c r="S211" s="7"/>
      <c r="T211" s="7"/>
      <c r="U211" s="7"/>
      <c r="V211" s="11"/>
      <c r="W211" s="11"/>
      <c r="X211" s="16"/>
      <c r="Y211" s="7"/>
      <c r="Z211" s="5"/>
      <c r="AA211" s="67"/>
    </row>
    <row r="212" spans="1:27">
      <c r="A212" s="66"/>
      <c r="B212" s="67"/>
      <c r="C212" s="67"/>
      <c r="D212" s="67"/>
      <c r="E212" s="25"/>
      <c r="F212" s="67"/>
      <c r="G212" s="67"/>
      <c r="H212" s="50"/>
      <c r="I212" s="10"/>
      <c r="J212" s="68"/>
      <c r="K212" s="4"/>
      <c r="L212" s="4"/>
      <c r="M212" s="4"/>
      <c r="N212" s="4"/>
      <c r="O212" s="4"/>
      <c r="P212" s="4"/>
      <c r="Q212" s="4"/>
      <c r="R212" s="4"/>
      <c r="S212" s="7"/>
      <c r="T212" s="7"/>
      <c r="U212" s="7"/>
      <c r="V212" s="11"/>
      <c r="W212" s="11"/>
      <c r="X212" s="16"/>
      <c r="Y212" s="7"/>
      <c r="Z212" s="5"/>
      <c r="AA212" s="67"/>
    </row>
    <row r="213" spans="1:27">
      <c r="A213" s="66"/>
      <c r="B213" s="67"/>
      <c r="C213" s="67"/>
      <c r="D213" s="67"/>
      <c r="E213" s="25"/>
      <c r="F213" s="67"/>
      <c r="G213" s="67"/>
      <c r="H213" s="50"/>
      <c r="I213" s="10"/>
      <c r="J213" s="68"/>
      <c r="K213" s="4"/>
      <c r="L213" s="4"/>
      <c r="M213" s="4"/>
      <c r="N213" s="4"/>
      <c r="O213" s="4"/>
      <c r="P213" s="4"/>
      <c r="Q213" s="4"/>
      <c r="R213" s="4"/>
      <c r="S213" s="7"/>
      <c r="T213" s="7"/>
      <c r="U213" s="7"/>
      <c r="V213" s="11"/>
      <c r="W213" s="11"/>
      <c r="X213" s="16"/>
      <c r="Y213" s="7"/>
      <c r="Z213" s="5"/>
      <c r="AA213" s="67"/>
    </row>
    <row r="214" spans="1:27">
      <c r="A214" s="66"/>
      <c r="B214" s="67"/>
      <c r="C214" s="67"/>
      <c r="D214" s="67"/>
      <c r="E214" s="25"/>
      <c r="F214" s="67"/>
      <c r="G214" s="67"/>
      <c r="H214" s="50"/>
      <c r="I214" s="10"/>
      <c r="J214" s="68"/>
      <c r="K214" s="4"/>
      <c r="L214" s="4"/>
      <c r="M214" s="4"/>
      <c r="N214" s="4"/>
      <c r="O214" s="4"/>
      <c r="P214" s="4"/>
      <c r="Q214" s="4"/>
      <c r="R214" s="4"/>
      <c r="S214" s="7"/>
      <c r="T214" s="7"/>
      <c r="U214" s="7"/>
      <c r="V214" s="11"/>
      <c r="W214" s="11"/>
      <c r="X214" s="16"/>
      <c r="Y214" s="7"/>
      <c r="Z214" s="5"/>
      <c r="AA214" s="67"/>
    </row>
    <row r="215" spans="1:27">
      <c r="A215" s="66"/>
      <c r="B215" s="67"/>
      <c r="C215" s="67"/>
      <c r="D215" s="67"/>
      <c r="E215" s="25"/>
      <c r="F215" s="67"/>
      <c r="G215" s="67"/>
      <c r="H215" s="50"/>
      <c r="I215" s="10"/>
      <c r="J215" s="68"/>
      <c r="K215" s="4"/>
      <c r="L215" s="4"/>
      <c r="M215" s="4"/>
      <c r="N215" s="4"/>
      <c r="O215" s="4"/>
      <c r="P215" s="4"/>
      <c r="Q215" s="4"/>
      <c r="R215" s="4"/>
      <c r="S215" s="7"/>
      <c r="T215" s="7"/>
      <c r="U215" s="7"/>
      <c r="V215" s="11"/>
      <c r="W215" s="11"/>
      <c r="X215" s="16"/>
      <c r="Y215" s="7"/>
      <c r="Z215" s="5"/>
      <c r="AA215" s="67"/>
    </row>
    <row r="216" spans="1:27">
      <c r="A216" s="66"/>
      <c r="B216" s="67"/>
      <c r="C216" s="67"/>
      <c r="D216" s="67"/>
      <c r="E216" s="25"/>
      <c r="F216" s="67"/>
      <c r="G216" s="67"/>
      <c r="H216" s="50"/>
      <c r="I216" s="10"/>
      <c r="J216" s="68"/>
      <c r="K216" s="4"/>
      <c r="L216" s="4"/>
      <c r="M216" s="4"/>
      <c r="N216" s="4"/>
      <c r="O216" s="4"/>
      <c r="P216" s="4"/>
      <c r="Q216" s="4"/>
      <c r="R216" s="4"/>
      <c r="S216" s="7"/>
      <c r="T216" s="7"/>
      <c r="U216" s="7"/>
      <c r="V216" s="11"/>
      <c r="W216" s="11"/>
      <c r="X216" s="16"/>
      <c r="Y216" s="7"/>
      <c r="Z216" s="5"/>
      <c r="AA216" s="67"/>
    </row>
    <row r="217" spans="1:27">
      <c r="A217" s="66"/>
      <c r="B217" s="67"/>
      <c r="C217" s="67"/>
      <c r="D217" s="67"/>
      <c r="E217" s="25"/>
      <c r="F217" s="67"/>
      <c r="G217" s="67"/>
      <c r="H217" s="50"/>
      <c r="I217" s="10"/>
      <c r="J217" s="68"/>
      <c r="K217" s="4"/>
      <c r="L217" s="4"/>
      <c r="M217" s="4"/>
      <c r="N217" s="4"/>
      <c r="O217" s="4"/>
      <c r="P217" s="4"/>
      <c r="Q217" s="4"/>
      <c r="R217" s="4"/>
      <c r="S217" s="7"/>
      <c r="T217" s="7"/>
      <c r="U217" s="7"/>
      <c r="V217" s="11"/>
      <c r="W217" s="11"/>
      <c r="X217" s="16"/>
      <c r="Y217" s="7"/>
      <c r="Z217" s="5"/>
      <c r="AA217" s="67"/>
    </row>
    <row r="218" spans="1:27">
      <c r="A218" s="66"/>
      <c r="B218" s="67"/>
      <c r="C218" s="67"/>
      <c r="D218" s="67"/>
      <c r="E218" s="25"/>
      <c r="F218" s="67"/>
      <c r="G218" s="67"/>
      <c r="H218" s="50"/>
      <c r="I218" s="10"/>
      <c r="J218" s="68"/>
      <c r="K218" s="4"/>
      <c r="L218" s="4"/>
      <c r="M218" s="4"/>
      <c r="N218" s="4"/>
      <c r="O218" s="4"/>
      <c r="P218" s="4"/>
      <c r="Q218" s="4"/>
      <c r="R218" s="4"/>
      <c r="S218" s="7"/>
      <c r="T218" s="7"/>
      <c r="U218" s="7"/>
      <c r="V218" s="11"/>
      <c r="W218" s="11"/>
      <c r="X218" s="16"/>
      <c r="Y218" s="7"/>
      <c r="Z218" s="5"/>
      <c r="AA218" s="67"/>
    </row>
    <row r="219" spans="1:27">
      <c r="A219" s="66"/>
      <c r="B219" s="67"/>
      <c r="C219" s="67"/>
      <c r="D219" s="67"/>
      <c r="E219" s="25"/>
      <c r="F219" s="67"/>
      <c r="G219" s="67"/>
      <c r="H219" s="50"/>
      <c r="I219" s="10"/>
      <c r="J219" s="68"/>
      <c r="K219" s="4"/>
      <c r="L219" s="4"/>
      <c r="M219" s="4"/>
      <c r="N219" s="4"/>
      <c r="O219" s="4"/>
      <c r="P219" s="4"/>
      <c r="Q219" s="4"/>
      <c r="R219" s="4"/>
      <c r="S219" s="7"/>
      <c r="T219" s="7"/>
      <c r="U219" s="7"/>
      <c r="V219" s="11"/>
      <c r="W219" s="11"/>
      <c r="X219" s="16"/>
      <c r="Y219" s="7"/>
      <c r="Z219" s="5"/>
      <c r="AA219" s="67"/>
    </row>
    <row r="220" spans="1:27">
      <c r="A220" s="66"/>
      <c r="B220" s="67"/>
      <c r="C220" s="67"/>
      <c r="D220" s="67"/>
      <c r="E220" s="25"/>
      <c r="F220" s="67"/>
      <c r="G220" s="67"/>
      <c r="H220" s="50"/>
      <c r="I220" s="10"/>
      <c r="J220" s="68"/>
      <c r="K220" s="4"/>
      <c r="L220" s="4"/>
      <c r="M220" s="4"/>
      <c r="N220" s="4"/>
      <c r="O220" s="4"/>
      <c r="P220" s="4"/>
      <c r="Q220" s="4"/>
      <c r="R220" s="4"/>
      <c r="S220" s="7"/>
      <c r="T220" s="7"/>
      <c r="U220" s="7"/>
      <c r="V220" s="11"/>
      <c r="W220" s="11"/>
      <c r="X220" s="16"/>
      <c r="Y220" s="7"/>
      <c r="Z220" s="5"/>
      <c r="AA220" s="67"/>
    </row>
    <row r="221" spans="1:27">
      <c r="A221" s="66"/>
      <c r="B221" s="67"/>
      <c r="C221" s="67"/>
      <c r="D221" s="67"/>
      <c r="E221" s="25"/>
      <c r="F221" s="67"/>
      <c r="G221" s="67"/>
      <c r="H221" s="50"/>
      <c r="I221" s="10"/>
      <c r="J221" s="68"/>
      <c r="K221" s="4"/>
      <c r="L221" s="4"/>
      <c r="M221" s="4"/>
      <c r="N221" s="4"/>
      <c r="O221" s="4"/>
      <c r="P221" s="4"/>
      <c r="Q221" s="4"/>
      <c r="R221" s="4"/>
      <c r="S221" s="7"/>
      <c r="T221" s="7"/>
      <c r="U221" s="7"/>
      <c r="V221" s="11"/>
      <c r="W221" s="11"/>
      <c r="X221" s="16"/>
      <c r="Y221" s="7"/>
      <c r="Z221" s="5"/>
      <c r="AA221" s="67"/>
    </row>
    <row r="222" spans="1:27">
      <c r="A222" s="66"/>
      <c r="B222" s="67"/>
      <c r="C222" s="67"/>
      <c r="D222" s="67"/>
      <c r="E222" s="25"/>
      <c r="F222" s="67"/>
      <c r="G222" s="67"/>
      <c r="H222" s="50"/>
      <c r="I222" s="10"/>
      <c r="J222" s="68"/>
      <c r="K222" s="4"/>
      <c r="L222" s="4"/>
      <c r="M222" s="4"/>
      <c r="N222" s="4"/>
      <c r="O222" s="4"/>
      <c r="P222" s="4"/>
      <c r="Q222" s="4"/>
      <c r="R222" s="4"/>
      <c r="S222" s="7"/>
      <c r="T222" s="7"/>
      <c r="U222" s="7"/>
      <c r="V222" s="11"/>
      <c r="W222" s="11"/>
      <c r="X222" s="16"/>
      <c r="Y222" s="7"/>
      <c r="Z222" s="5"/>
      <c r="AA222" s="67"/>
    </row>
    <row r="223" spans="1:27">
      <c r="A223" s="66"/>
      <c r="B223" s="67"/>
      <c r="C223" s="67"/>
      <c r="D223" s="67"/>
      <c r="E223" s="25"/>
      <c r="F223" s="67"/>
      <c r="G223" s="67"/>
      <c r="H223" s="50"/>
      <c r="I223" s="10"/>
      <c r="J223" s="68"/>
      <c r="K223" s="4"/>
      <c r="L223" s="4"/>
      <c r="M223" s="4"/>
      <c r="N223" s="4"/>
      <c r="O223" s="4"/>
      <c r="P223" s="4"/>
      <c r="Q223" s="4"/>
      <c r="R223" s="4"/>
      <c r="S223" s="7"/>
      <c r="T223" s="7"/>
      <c r="U223" s="7"/>
      <c r="V223" s="11"/>
      <c r="W223" s="11"/>
      <c r="X223" s="16"/>
      <c r="Y223" s="7"/>
      <c r="Z223" s="5"/>
      <c r="AA223" s="67"/>
    </row>
    <row r="224" spans="1:27">
      <c r="A224" s="66"/>
      <c r="B224" s="67"/>
      <c r="C224" s="67"/>
      <c r="D224" s="67"/>
      <c r="E224" s="25"/>
      <c r="F224" s="67"/>
      <c r="G224" s="67"/>
      <c r="H224" s="50"/>
      <c r="I224" s="10"/>
      <c r="J224" s="68"/>
      <c r="K224" s="4"/>
      <c r="L224" s="4"/>
      <c r="M224" s="4"/>
      <c r="N224" s="4"/>
      <c r="O224" s="4"/>
      <c r="P224" s="4"/>
      <c r="Q224" s="4"/>
      <c r="R224" s="4"/>
      <c r="S224" s="7"/>
      <c r="T224" s="7"/>
      <c r="U224" s="7"/>
      <c r="V224" s="11"/>
      <c r="W224" s="11"/>
      <c r="X224" s="16"/>
      <c r="Y224" s="7"/>
      <c r="Z224" s="5"/>
      <c r="AA224" s="67"/>
    </row>
    <row r="225" spans="1:27">
      <c r="A225" s="66"/>
      <c r="B225" s="67"/>
      <c r="C225" s="67"/>
      <c r="D225" s="67"/>
      <c r="E225" s="25"/>
      <c r="F225" s="67"/>
      <c r="G225" s="67"/>
      <c r="H225" s="50"/>
      <c r="I225" s="10"/>
      <c r="J225" s="68"/>
      <c r="K225" s="4"/>
      <c r="L225" s="4"/>
      <c r="M225" s="4"/>
      <c r="N225" s="4"/>
      <c r="O225" s="4"/>
      <c r="P225" s="4"/>
      <c r="Q225" s="4"/>
      <c r="R225" s="4"/>
      <c r="S225" s="7"/>
      <c r="T225" s="7"/>
      <c r="U225" s="7"/>
      <c r="V225" s="11"/>
      <c r="W225" s="11"/>
      <c r="X225" s="16"/>
      <c r="Y225" s="7"/>
      <c r="Z225" s="5"/>
      <c r="AA225" s="67"/>
    </row>
    <row r="226" spans="1:27">
      <c r="A226" s="66"/>
      <c r="B226" s="67"/>
      <c r="C226" s="67"/>
      <c r="D226" s="67"/>
      <c r="E226" s="25"/>
      <c r="F226" s="67"/>
      <c r="G226" s="67"/>
      <c r="H226" s="50"/>
      <c r="I226" s="10"/>
      <c r="J226" s="68"/>
      <c r="K226" s="4"/>
      <c r="L226" s="4"/>
      <c r="M226" s="4"/>
      <c r="N226" s="4"/>
      <c r="O226" s="4"/>
      <c r="P226" s="4"/>
      <c r="Q226" s="4"/>
      <c r="R226" s="4"/>
      <c r="S226" s="7"/>
      <c r="T226" s="7"/>
      <c r="U226" s="7"/>
      <c r="V226" s="11"/>
      <c r="W226" s="11"/>
      <c r="X226" s="16"/>
      <c r="Y226" s="7"/>
      <c r="Z226" s="5"/>
      <c r="AA226" s="67"/>
    </row>
    <row r="227" spans="1:27">
      <c r="A227" s="66"/>
      <c r="B227" s="67"/>
      <c r="C227" s="67"/>
      <c r="D227" s="67"/>
      <c r="E227" s="25"/>
      <c r="F227" s="67"/>
      <c r="G227" s="67"/>
      <c r="H227" s="50"/>
      <c r="I227" s="10"/>
      <c r="J227" s="68"/>
      <c r="K227" s="4"/>
      <c r="L227" s="4"/>
      <c r="M227" s="4"/>
      <c r="N227" s="4"/>
      <c r="O227" s="4"/>
      <c r="P227" s="4"/>
      <c r="Q227" s="4"/>
      <c r="R227" s="4"/>
      <c r="S227" s="7"/>
      <c r="T227" s="7"/>
      <c r="U227" s="7"/>
      <c r="V227" s="11"/>
      <c r="W227" s="11"/>
      <c r="X227" s="16"/>
      <c r="Y227" s="7"/>
      <c r="Z227" s="5"/>
      <c r="AA227" s="67"/>
    </row>
    <row r="228" spans="1:27">
      <c r="A228" s="66"/>
      <c r="B228" s="67"/>
      <c r="C228" s="67"/>
      <c r="D228" s="67"/>
      <c r="E228" s="25"/>
      <c r="F228" s="67"/>
      <c r="G228" s="67"/>
      <c r="H228" s="50"/>
      <c r="I228" s="10"/>
      <c r="J228" s="68"/>
      <c r="K228" s="4"/>
      <c r="L228" s="4"/>
      <c r="M228" s="4"/>
      <c r="N228" s="4"/>
      <c r="O228" s="4"/>
      <c r="P228" s="4"/>
      <c r="Q228" s="4"/>
      <c r="R228" s="4"/>
      <c r="S228" s="7"/>
      <c r="T228" s="7"/>
      <c r="U228" s="7"/>
      <c r="V228" s="11"/>
      <c r="W228" s="11"/>
      <c r="X228" s="16"/>
      <c r="Y228" s="7"/>
      <c r="Z228" s="5"/>
      <c r="AA228" s="67"/>
    </row>
    <row r="229" spans="1:27">
      <c r="A229" s="66"/>
      <c r="B229" s="67"/>
      <c r="C229" s="67"/>
      <c r="D229" s="67"/>
      <c r="E229" s="25"/>
      <c r="F229" s="67"/>
      <c r="G229" s="67"/>
      <c r="H229" s="50"/>
      <c r="I229" s="10"/>
      <c r="J229" s="68"/>
      <c r="K229" s="4"/>
      <c r="L229" s="4"/>
      <c r="M229" s="4"/>
      <c r="N229" s="4"/>
      <c r="O229" s="4"/>
      <c r="P229" s="4"/>
      <c r="Q229" s="4"/>
      <c r="R229" s="4"/>
      <c r="S229" s="7"/>
      <c r="T229" s="7"/>
      <c r="U229" s="7"/>
      <c r="V229" s="11"/>
      <c r="W229" s="11"/>
      <c r="X229" s="16"/>
      <c r="Y229" s="7"/>
      <c r="Z229" s="5"/>
      <c r="AA229" s="67"/>
    </row>
    <row r="230" spans="1:27">
      <c r="A230" s="66"/>
      <c r="B230" s="67"/>
      <c r="C230" s="67"/>
      <c r="D230" s="67"/>
      <c r="E230" s="25"/>
      <c r="F230" s="67"/>
      <c r="G230" s="67"/>
      <c r="H230" s="50"/>
      <c r="I230" s="10"/>
      <c r="J230" s="68"/>
      <c r="K230" s="4"/>
      <c r="L230" s="4"/>
      <c r="M230" s="4"/>
      <c r="N230" s="4"/>
      <c r="O230" s="4"/>
      <c r="P230" s="4"/>
      <c r="Q230" s="4"/>
      <c r="R230" s="4"/>
      <c r="S230" s="7"/>
      <c r="T230" s="7"/>
      <c r="U230" s="7"/>
      <c r="V230" s="11"/>
      <c r="W230" s="11"/>
      <c r="X230" s="16"/>
      <c r="Y230" s="7"/>
      <c r="Z230" s="5"/>
      <c r="AA230" s="67"/>
    </row>
    <row r="231" spans="1:27">
      <c r="A231" s="66"/>
      <c r="B231" s="67"/>
      <c r="C231" s="67"/>
      <c r="D231" s="67"/>
      <c r="E231" s="25"/>
      <c r="F231" s="67"/>
      <c r="G231" s="67"/>
      <c r="H231" s="50"/>
      <c r="I231" s="10"/>
      <c r="J231" s="68"/>
      <c r="K231" s="4"/>
      <c r="L231" s="4"/>
      <c r="M231" s="4"/>
      <c r="N231" s="4"/>
      <c r="O231" s="4"/>
      <c r="P231" s="4"/>
      <c r="Q231" s="4"/>
      <c r="R231" s="4"/>
      <c r="S231" s="7"/>
      <c r="T231" s="7"/>
      <c r="U231" s="7"/>
      <c r="V231" s="11"/>
      <c r="W231" s="11"/>
      <c r="X231" s="16"/>
      <c r="Y231" s="7"/>
      <c r="Z231" s="5"/>
      <c r="AA231" s="67"/>
    </row>
    <row r="232" spans="1:27">
      <c r="A232" s="66"/>
      <c r="B232" s="67"/>
      <c r="C232" s="67"/>
      <c r="D232" s="67"/>
      <c r="E232" s="25"/>
      <c r="F232" s="67"/>
      <c r="G232" s="67"/>
      <c r="H232" s="50"/>
      <c r="I232" s="10"/>
      <c r="J232" s="68"/>
      <c r="K232" s="4"/>
      <c r="L232" s="4"/>
      <c r="M232" s="4"/>
      <c r="N232" s="4"/>
      <c r="O232" s="4"/>
      <c r="P232" s="4"/>
      <c r="Q232" s="4"/>
      <c r="R232" s="4"/>
      <c r="S232" s="7"/>
      <c r="T232" s="7"/>
      <c r="U232" s="7"/>
      <c r="V232" s="11"/>
      <c r="W232" s="11"/>
      <c r="X232" s="16"/>
      <c r="Y232" s="7"/>
      <c r="Z232" s="5"/>
      <c r="AA232" s="67"/>
    </row>
    <row r="233" spans="1:27">
      <c r="A233" s="66"/>
      <c r="B233" s="67"/>
      <c r="C233" s="67"/>
      <c r="D233" s="67"/>
      <c r="E233" s="25"/>
      <c r="F233" s="67"/>
      <c r="G233" s="67"/>
      <c r="H233" s="50"/>
      <c r="I233" s="10"/>
      <c r="J233" s="68"/>
      <c r="K233" s="4"/>
      <c r="L233" s="4"/>
      <c r="M233" s="4"/>
      <c r="N233" s="4"/>
      <c r="O233" s="4"/>
      <c r="P233" s="4"/>
      <c r="Q233" s="4"/>
      <c r="R233" s="4"/>
      <c r="S233" s="7"/>
      <c r="T233" s="7"/>
      <c r="U233" s="7"/>
      <c r="V233" s="11"/>
      <c r="W233" s="11"/>
      <c r="X233" s="16"/>
      <c r="Y233" s="7"/>
      <c r="Z233" s="5"/>
      <c r="AA233" s="67"/>
    </row>
    <row r="234" spans="1:27">
      <c r="A234" s="66"/>
      <c r="B234" s="67"/>
      <c r="C234" s="67"/>
      <c r="D234" s="67"/>
      <c r="E234" s="25"/>
      <c r="F234" s="67"/>
      <c r="G234" s="67"/>
      <c r="H234" s="50"/>
      <c r="I234" s="10"/>
      <c r="J234" s="68"/>
      <c r="K234" s="4"/>
      <c r="L234" s="4"/>
      <c r="M234" s="4"/>
      <c r="N234" s="4"/>
      <c r="O234" s="4"/>
      <c r="P234" s="4"/>
      <c r="Q234" s="4"/>
      <c r="R234" s="4"/>
      <c r="S234" s="7"/>
      <c r="T234" s="7"/>
      <c r="U234" s="7"/>
      <c r="V234" s="11"/>
      <c r="W234" s="11"/>
      <c r="X234" s="16"/>
      <c r="Y234" s="7"/>
      <c r="Z234" s="5"/>
      <c r="AA234" s="67"/>
    </row>
    <row r="235" spans="1:27">
      <c r="A235" s="66"/>
      <c r="B235" s="67"/>
      <c r="C235" s="67"/>
      <c r="D235" s="67"/>
      <c r="E235" s="25"/>
      <c r="F235" s="67"/>
      <c r="G235" s="67"/>
      <c r="H235" s="50"/>
      <c r="I235" s="10"/>
      <c r="J235" s="68"/>
      <c r="K235" s="4"/>
      <c r="L235" s="4"/>
      <c r="M235" s="4"/>
      <c r="N235" s="4"/>
      <c r="O235" s="4"/>
      <c r="P235" s="4"/>
      <c r="Q235" s="4"/>
      <c r="R235" s="4"/>
      <c r="S235" s="7"/>
      <c r="T235" s="7"/>
      <c r="U235" s="7"/>
      <c r="V235" s="11"/>
      <c r="W235" s="11"/>
      <c r="X235" s="16"/>
      <c r="Y235" s="7"/>
      <c r="Z235" s="5"/>
      <c r="AA235" s="67"/>
    </row>
    <row r="236" spans="1:27">
      <c r="A236" s="66"/>
      <c r="B236" s="67"/>
      <c r="C236" s="67"/>
      <c r="D236" s="67"/>
      <c r="E236" s="25"/>
      <c r="F236" s="67"/>
      <c r="G236" s="67"/>
      <c r="H236" s="50"/>
      <c r="I236" s="10"/>
      <c r="J236" s="68"/>
      <c r="K236" s="4"/>
      <c r="L236" s="4"/>
      <c r="M236" s="4"/>
      <c r="N236" s="4"/>
      <c r="O236" s="4"/>
      <c r="P236" s="4"/>
      <c r="Q236" s="4"/>
      <c r="R236" s="4"/>
      <c r="S236" s="7"/>
      <c r="T236" s="7"/>
      <c r="U236" s="7"/>
      <c r="V236" s="11"/>
      <c r="W236" s="11"/>
      <c r="X236" s="16"/>
      <c r="Y236" s="7"/>
      <c r="Z236" s="5"/>
      <c r="AA236" s="67"/>
    </row>
    <row r="237" spans="1:27">
      <c r="A237" s="66"/>
      <c r="B237" s="67"/>
      <c r="C237" s="67"/>
      <c r="D237" s="67"/>
      <c r="E237" s="25"/>
      <c r="F237" s="67"/>
      <c r="G237" s="67"/>
      <c r="H237" s="50"/>
      <c r="I237" s="10"/>
      <c r="J237" s="68"/>
      <c r="K237" s="4"/>
      <c r="L237" s="4"/>
      <c r="M237" s="4"/>
      <c r="N237" s="4"/>
      <c r="O237" s="4"/>
      <c r="P237" s="4"/>
      <c r="Q237" s="4"/>
      <c r="R237" s="4"/>
      <c r="S237" s="7"/>
      <c r="T237" s="7"/>
      <c r="U237" s="7"/>
      <c r="V237" s="11"/>
      <c r="W237" s="11"/>
      <c r="X237" s="16"/>
      <c r="Y237" s="7"/>
      <c r="Z237" s="5"/>
      <c r="AA237" s="67"/>
    </row>
    <row r="238" spans="1:27">
      <c r="A238" s="66"/>
      <c r="B238" s="67"/>
      <c r="C238" s="67"/>
      <c r="D238" s="67"/>
      <c r="E238" s="25"/>
      <c r="F238" s="67"/>
      <c r="G238" s="67"/>
      <c r="H238" s="50"/>
      <c r="I238" s="10"/>
      <c r="J238" s="68"/>
      <c r="K238" s="4"/>
      <c r="L238" s="4"/>
      <c r="M238" s="4"/>
      <c r="N238" s="4"/>
      <c r="O238" s="4"/>
      <c r="P238" s="4"/>
      <c r="Q238" s="4"/>
      <c r="R238" s="4"/>
      <c r="S238" s="7"/>
      <c r="T238" s="7"/>
      <c r="U238" s="7"/>
      <c r="V238" s="11"/>
      <c r="W238" s="11"/>
      <c r="X238" s="16"/>
      <c r="Y238" s="7"/>
      <c r="Z238" s="5"/>
      <c r="AA238" s="67"/>
    </row>
    <row r="239" spans="1:27">
      <c r="A239" s="66"/>
      <c r="B239" s="67"/>
      <c r="C239" s="67"/>
      <c r="D239" s="67"/>
      <c r="E239" s="25"/>
      <c r="F239" s="67"/>
      <c r="G239" s="67"/>
      <c r="H239" s="50"/>
      <c r="I239" s="10"/>
      <c r="J239" s="68"/>
      <c r="K239" s="4"/>
      <c r="L239" s="4"/>
      <c r="M239" s="4"/>
      <c r="N239" s="4"/>
      <c r="O239" s="4"/>
      <c r="P239" s="4"/>
      <c r="Q239" s="4"/>
      <c r="R239" s="4"/>
      <c r="S239" s="7"/>
      <c r="T239" s="7"/>
      <c r="U239" s="7"/>
      <c r="V239" s="11"/>
      <c r="W239" s="11"/>
      <c r="X239" s="16"/>
      <c r="Y239" s="7"/>
      <c r="Z239" s="5"/>
      <c r="AA239" s="67"/>
    </row>
    <row r="240" spans="1:27">
      <c r="E240" s="65"/>
    </row>
    <row r="241" spans="5:5">
      <c r="E241" s="25"/>
    </row>
    <row r="242" spans="5:5">
      <c r="E242" s="25"/>
    </row>
    <row r="243" spans="5:5">
      <c r="E243" s="25"/>
    </row>
    <row r="244" spans="5:5">
      <c r="E244" s="25"/>
    </row>
    <row r="245" spans="5:5">
      <c r="E245" s="25"/>
    </row>
    <row r="246" spans="5:5">
      <c r="E246" s="25"/>
    </row>
    <row r="247" spans="5:5">
      <c r="E247" s="25"/>
    </row>
    <row r="248" spans="5:5">
      <c r="E248" s="25"/>
    </row>
    <row r="249" spans="5:5">
      <c r="E249" s="25"/>
    </row>
    <row r="250" spans="5:5">
      <c r="E250" s="25"/>
    </row>
    <row r="251" spans="5:5">
      <c r="E251" s="25"/>
    </row>
    <row r="252" spans="5:5">
      <c r="E252" s="25"/>
    </row>
    <row r="253" spans="5:5">
      <c r="E253" s="25"/>
    </row>
    <row r="254" spans="5:5">
      <c r="E254" s="25"/>
    </row>
    <row r="255" spans="5:5">
      <c r="E255" s="25"/>
    </row>
    <row r="256" spans="5:5">
      <c r="E256" s="25"/>
    </row>
    <row r="257" spans="5:5">
      <c r="E257" s="25"/>
    </row>
    <row r="258" spans="5:5">
      <c r="E258" s="25"/>
    </row>
    <row r="259" spans="5:5">
      <c r="E259" s="25"/>
    </row>
    <row r="260" spans="5:5">
      <c r="E260" s="25"/>
    </row>
    <row r="261" spans="5:5">
      <c r="E261" s="25"/>
    </row>
    <row r="262" spans="5:5">
      <c r="E262" s="25"/>
    </row>
    <row r="263" spans="5:5">
      <c r="E263" s="25"/>
    </row>
    <row r="264" spans="5:5">
      <c r="E264" s="25"/>
    </row>
    <row r="265" spans="5:5">
      <c r="E265" s="25"/>
    </row>
    <row r="266" spans="5:5">
      <c r="E266" s="25"/>
    </row>
    <row r="267" spans="5:5">
      <c r="E267" s="25"/>
    </row>
    <row r="268" spans="5:5">
      <c r="E268" s="25"/>
    </row>
    <row r="269" spans="5:5">
      <c r="E269" s="25"/>
    </row>
    <row r="270" spans="5:5">
      <c r="E270" s="25"/>
    </row>
    <row r="271" spans="5:5">
      <c r="E271" s="25"/>
    </row>
    <row r="272" spans="5:5">
      <c r="E272" s="25"/>
    </row>
    <row r="273" spans="5:5">
      <c r="E273" s="25"/>
    </row>
    <row r="274" spans="5:5">
      <c r="E274" s="25"/>
    </row>
    <row r="275" spans="5:5">
      <c r="E275" s="25"/>
    </row>
    <row r="276" spans="5:5">
      <c r="E276" s="25"/>
    </row>
    <row r="277" spans="5:5">
      <c r="E277" s="25"/>
    </row>
    <row r="278" spans="5:5">
      <c r="E278" s="25"/>
    </row>
    <row r="279" spans="5:5">
      <c r="E279" s="25"/>
    </row>
    <row r="280" spans="5:5">
      <c r="E280" s="25"/>
    </row>
    <row r="281" spans="5:5">
      <c r="E281" s="25"/>
    </row>
    <row r="282" spans="5:5">
      <c r="E282" s="25"/>
    </row>
    <row r="283" spans="5:5">
      <c r="E283" s="25"/>
    </row>
    <row r="284" spans="5:5">
      <c r="E284" s="25"/>
    </row>
    <row r="285" spans="5:5">
      <c r="E285" s="25"/>
    </row>
    <row r="286" spans="5:5">
      <c r="E286" s="25"/>
    </row>
    <row r="287" spans="5:5">
      <c r="E287" s="25"/>
    </row>
    <row r="288" spans="5:5">
      <c r="E288" s="25"/>
    </row>
    <row r="289" spans="5:5">
      <c r="E289" s="25"/>
    </row>
    <row r="290" spans="5:5">
      <c r="E290" s="25"/>
    </row>
    <row r="291" spans="5:5">
      <c r="E291" s="25"/>
    </row>
    <row r="292" spans="5:5">
      <c r="E292" s="25"/>
    </row>
    <row r="293" spans="5:5">
      <c r="E293" s="25"/>
    </row>
    <row r="294" spans="5:5">
      <c r="E294" s="25"/>
    </row>
    <row r="295" spans="5:5">
      <c r="E295" s="25"/>
    </row>
    <row r="296" spans="5:5">
      <c r="E296" s="25"/>
    </row>
    <row r="297" spans="5:5">
      <c r="E297" s="25"/>
    </row>
    <row r="298" spans="5:5">
      <c r="E298" s="25"/>
    </row>
    <row r="299" spans="5:5">
      <c r="E299" s="25"/>
    </row>
    <row r="300" spans="5:5">
      <c r="E300" s="25"/>
    </row>
    <row r="301" spans="5:5">
      <c r="E301" s="25"/>
    </row>
    <row r="302" spans="5:5">
      <c r="E302" s="25"/>
    </row>
    <row r="303" spans="5:5">
      <c r="E303" s="25"/>
    </row>
    <row r="304" spans="5:5">
      <c r="E304" s="25"/>
    </row>
    <row r="305" spans="5:5">
      <c r="E305" s="25"/>
    </row>
    <row r="306" spans="5:5">
      <c r="E306" s="25"/>
    </row>
    <row r="307" spans="5:5">
      <c r="E307" s="25"/>
    </row>
    <row r="308" spans="5:5">
      <c r="E308" s="25"/>
    </row>
    <row r="309" spans="5:5">
      <c r="E309" s="25"/>
    </row>
    <row r="310" spans="5:5">
      <c r="E310" s="25"/>
    </row>
    <row r="311" spans="5:5">
      <c r="E311" s="25"/>
    </row>
    <row r="312" spans="5:5">
      <c r="E312" s="25"/>
    </row>
    <row r="313" spans="5:5">
      <c r="E313" s="25"/>
    </row>
    <row r="314" spans="5:5">
      <c r="E314" s="25"/>
    </row>
    <row r="315" spans="5:5">
      <c r="E315" s="25"/>
    </row>
    <row r="316" spans="5:5">
      <c r="E316" s="25"/>
    </row>
    <row r="317" spans="5:5">
      <c r="E317" s="25"/>
    </row>
    <row r="318" spans="5:5">
      <c r="E318" s="25"/>
    </row>
    <row r="319" spans="5:5">
      <c r="E319" s="25"/>
    </row>
    <row r="320" spans="5:5">
      <c r="E320" s="25"/>
    </row>
    <row r="321" spans="5:5">
      <c r="E321" s="25"/>
    </row>
    <row r="322" spans="5:5">
      <c r="E322" s="25"/>
    </row>
    <row r="323" spans="5:5">
      <c r="E323" s="25"/>
    </row>
    <row r="324" spans="5:5">
      <c r="E324" s="25"/>
    </row>
    <row r="325" spans="5:5">
      <c r="E325" s="25"/>
    </row>
    <row r="326" spans="5:5">
      <c r="E326" s="25"/>
    </row>
    <row r="327" spans="5:5">
      <c r="E327" s="25"/>
    </row>
    <row r="328" spans="5:5">
      <c r="E328" s="25"/>
    </row>
    <row r="329" spans="5:5">
      <c r="E329" s="25"/>
    </row>
    <row r="330" spans="5:5">
      <c r="E330" s="25"/>
    </row>
    <row r="331" spans="5:5">
      <c r="E331" s="25"/>
    </row>
    <row r="332" spans="5:5">
      <c r="E332" s="25"/>
    </row>
    <row r="333" spans="5:5">
      <c r="E333" s="25"/>
    </row>
    <row r="334" spans="5:5">
      <c r="E334" s="25"/>
    </row>
    <row r="335" spans="5:5">
      <c r="E335" s="25"/>
    </row>
    <row r="336" spans="5:5">
      <c r="E336" s="25"/>
    </row>
    <row r="337" spans="5:5">
      <c r="E337" s="25"/>
    </row>
    <row r="338" spans="5:5">
      <c r="E338" s="25"/>
    </row>
    <row r="339" spans="5:5">
      <c r="E339" s="25"/>
    </row>
    <row r="340" spans="5:5">
      <c r="E340" s="25"/>
    </row>
    <row r="341" spans="5:5">
      <c r="E341" s="25"/>
    </row>
    <row r="342" spans="5:5">
      <c r="E342" s="25"/>
    </row>
    <row r="343" spans="5:5">
      <c r="E343" s="25"/>
    </row>
    <row r="344" spans="5:5">
      <c r="E344" s="25"/>
    </row>
    <row r="345" spans="5:5">
      <c r="E345" s="25"/>
    </row>
    <row r="346" spans="5:5">
      <c r="E346" s="25"/>
    </row>
    <row r="347" spans="5:5">
      <c r="E347" s="25"/>
    </row>
    <row r="348" spans="5:5">
      <c r="E348" s="25"/>
    </row>
    <row r="349" spans="5:5">
      <c r="E349" s="25"/>
    </row>
    <row r="350" spans="5:5">
      <c r="E350" s="25"/>
    </row>
    <row r="351" spans="5:5">
      <c r="E351" s="25"/>
    </row>
    <row r="352" spans="5:5">
      <c r="E352" s="25"/>
    </row>
    <row r="353" spans="5:5">
      <c r="E353" s="25"/>
    </row>
    <row r="354" spans="5:5">
      <c r="E354" s="25"/>
    </row>
    <row r="355" spans="5:5">
      <c r="E355" s="25"/>
    </row>
    <row r="356" spans="5:5">
      <c r="E356" s="25"/>
    </row>
    <row r="357" spans="5:5">
      <c r="E357" s="25"/>
    </row>
    <row r="358" spans="5:5">
      <c r="E358" s="25"/>
    </row>
    <row r="359" spans="5:5">
      <c r="E359" s="25"/>
    </row>
    <row r="360" spans="5:5">
      <c r="E360" s="25"/>
    </row>
    <row r="361" spans="5:5">
      <c r="E361" s="25"/>
    </row>
    <row r="362" spans="5:5">
      <c r="E362" s="25"/>
    </row>
    <row r="363" spans="5:5">
      <c r="E363" s="25"/>
    </row>
    <row r="364" spans="5:5">
      <c r="E364" s="25"/>
    </row>
    <row r="365" spans="5:5">
      <c r="E365" s="25"/>
    </row>
    <row r="366" spans="5:5">
      <c r="E366" s="25"/>
    </row>
    <row r="367" spans="5:5">
      <c r="E367" s="25"/>
    </row>
    <row r="368" spans="5:5">
      <c r="E368" s="25"/>
    </row>
    <row r="369" spans="5:5">
      <c r="E369" s="25"/>
    </row>
    <row r="370" spans="5:5">
      <c r="E370" s="25"/>
    </row>
    <row r="371" spans="5:5">
      <c r="E371" s="25"/>
    </row>
    <row r="372" spans="5:5">
      <c r="E372" s="25"/>
    </row>
    <row r="373" spans="5:5">
      <c r="E373" s="25"/>
    </row>
    <row r="374" spans="5:5">
      <c r="E374" s="25"/>
    </row>
    <row r="375" spans="5:5">
      <c r="E375" s="25"/>
    </row>
    <row r="376" spans="5:5">
      <c r="E376" s="25"/>
    </row>
    <row r="377" spans="5:5">
      <c r="E377" s="25"/>
    </row>
    <row r="378" spans="5:5">
      <c r="E378" s="25"/>
    </row>
    <row r="379" spans="5:5">
      <c r="E379" s="25"/>
    </row>
    <row r="380" spans="5:5">
      <c r="E380" s="25"/>
    </row>
    <row r="381" spans="5:5">
      <c r="E381" s="25"/>
    </row>
    <row r="382" spans="5:5">
      <c r="E382" s="25"/>
    </row>
    <row r="383" spans="5:5">
      <c r="E383" s="25"/>
    </row>
    <row r="384" spans="5:5">
      <c r="E384" s="25"/>
    </row>
    <row r="385" spans="5:5">
      <c r="E385" s="25"/>
    </row>
    <row r="386" spans="5:5">
      <c r="E386" s="25"/>
    </row>
    <row r="387" spans="5:5">
      <c r="E387" s="25"/>
    </row>
    <row r="388" spans="5:5">
      <c r="E388" s="25"/>
    </row>
    <row r="389" spans="5:5">
      <c r="E389" s="25"/>
    </row>
    <row r="390" spans="5:5">
      <c r="E390" s="25"/>
    </row>
    <row r="391" spans="5:5">
      <c r="E391" s="25"/>
    </row>
    <row r="392" spans="5:5">
      <c r="E392" s="25"/>
    </row>
    <row r="393" spans="5:5">
      <c r="E393" s="25"/>
    </row>
    <row r="394" spans="5:5">
      <c r="E394" s="25"/>
    </row>
    <row r="395" spans="5:5">
      <c r="E395" s="25"/>
    </row>
    <row r="396" spans="5:5">
      <c r="E396" s="25"/>
    </row>
    <row r="397" spans="5:5">
      <c r="E397" s="25"/>
    </row>
    <row r="398" spans="5:5">
      <c r="E398" s="25"/>
    </row>
    <row r="399" spans="5:5">
      <c r="E399" s="25"/>
    </row>
    <row r="400" spans="5:5">
      <c r="E400" s="25"/>
    </row>
    <row r="401" spans="5:5">
      <c r="E401" s="25"/>
    </row>
    <row r="402" spans="5:5">
      <c r="E402" s="25"/>
    </row>
    <row r="403" spans="5:5">
      <c r="E403" s="25"/>
    </row>
    <row r="404" spans="5:5">
      <c r="E404" s="25"/>
    </row>
    <row r="405" spans="5:5">
      <c r="E405" s="25"/>
    </row>
    <row r="406" spans="5:5">
      <c r="E406" s="25"/>
    </row>
    <row r="407" spans="5:5">
      <c r="E407" s="25"/>
    </row>
    <row r="408" spans="5:5">
      <c r="E408" s="25"/>
    </row>
    <row r="409" spans="5:5">
      <c r="E409" s="25"/>
    </row>
    <row r="410" spans="5:5">
      <c r="E410" s="25"/>
    </row>
    <row r="411" spans="5:5">
      <c r="E411" s="25"/>
    </row>
    <row r="412" spans="5:5">
      <c r="E412" s="25"/>
    </row>
    <row r="413" spans="5:5">
      <c r="E413" s="25"/>
    </row>
    <row r="414" spans="5:5">
      <c r="E414" s="25"/>
    </row>
    <row r="415" spans="5:5">
      <c r="E415" s="25"/>
    </row>
    <row r="416" spans="5:5">
      <c r="E416" s="25"/>
    </row>
    <row r="417" spans="5:5">
      <c r="E417" s="25"/>
    </row>
    <row r="418" spans="5:5">
      <c r="E418" s="25"/>
    </row>
    <row r="419" spans="5:5">
      <c r="E419" s="25"/>
    </row>
    <row r="420" spans="5:5">
      <c r="E420" s="25"/>
    </row>
    <row r="421" spans="5:5">
      <c r="E421" s="25"/>
    </row>
    <row r="422" spans="5:5">
      <c r="E422" s="25"/>
    </row>
    <row r="423" spans="5:5">
      <c r="E423" s="25"/>
    </row>
    <row r="424" spans="5:5">
      <c r="E424" s="25"/>
    </row>
    <row r="425" spans="5:5">
      <c r="E425" s="25"/>
    </row>
    <row r="426" spans="5:5">
      <c r="E426" s="25"/>
    </row>
    <row r="427" spans="5:5">
      <c r="E427" s="25"/>
    </row>
    <row r="428" spans="5:5">
      <c r="E428" s="25"/>
    </row>
    <row r="429" spans="5:5">
      <c r="E429" s="25"/>
    </row>
    <row r="430" spans="5:5">
      <c r="E430" s="25"/>
    </row>
    <row r="431" spans="5:5">
      <c r="E431" s="25"/>
    </row>
    <row r="432" spans="5:5">
      <c r="E432" s="25"/>
    </row>
    <row r="433" spans="5:5">
      <c r="E433" s="25"/>
    </row>
    <row r="434" spans="5:5">
      <c r="E434" s="25"/>
    </row>
    <row r="1046775" spans="6:22">
      <c r="F1046775" s="84"/>
      <c r="V1046775" s="11"/>
    </row>
  </sheetData>
  <autoFilter ref="A6:DX55">
    <filterColumn colId="0">
      <filters>
        <dateGroupItem year="2017" dateTimeGrouping="year"/>
        <dateGroupItem year="2016" dateTimeGrouping="year"/>
        <dateGroupItem year="2015" dateTimeGrouping="year"/>
      </filters>
    </filterColumn>
    <sortState ref="A7:DX1851">
      <sortCondition ref="A6:A1854"/>
    </sortState>
  </autoFilter>
  <mergeCells count="1">
    <mergeCell ref="S1:Y5"/>
  </mergeCells>
  <dataValidations count="3">
    <dataValidation type="list" allowBlank="1" showInputMessage="1" showErrorMessage="1" sqref="F1046775:F1048576 F7:F52">
      <formula1>$AH$9:$AH$21</formula1>
    </dataValidation>
    <dataValidation type="list" allowBlank="1" showInputMessage="1" showErrorMessage="1" sqref="E4:G4 E7:E434">
      <formula1>$AG$9:$AG$21</formula1>
    </dataValidation>
    <dataValidation type="list" allowBlank="1" showInputMessage="1" showErrorMessage="1" sqref="G7:G52">
      <formula1>$AH$1:$AH$6</formula1>
    </dataValidation>
  </dataValidations>
  <pageMargins left="0.25" right="0.25" top="0.75" bottom="0.75" header="0.3" footer="0.3"/>
  <pageSetup paperSize="9" scale="93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ProductionSchedule</vt:lpstr>
      <vt:lpstr>ProductionSchedule!Print_Area</vt:lpstr>
      <vt:lpstr>ProductionSchedule!Print_Titles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gobrien</dc:creator>
  <cp:lastModifiedBy>Clive Leung</cp:lastModifiedBy>
  <cp:lastPrinted>2017-02-06T00:52:55Z</cp:lastPrinted>
  <dcterms:created xsi:type="dcterms:W3CDTF">2015-07-16T10:00:13Z</dcterms:created>
  <dcterms:modified xsi:type="dcterms:W3CDTF">2017-02-20T03:28:14Z</dcterms:modified>
</cp:coreProperties>
</file>