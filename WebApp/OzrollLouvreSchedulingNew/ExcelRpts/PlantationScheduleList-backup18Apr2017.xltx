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/>
  <workbookPr/>
  <bookViews>
    <workbookView xWindow="3150" yWindow="-210" windowWidth="19320" windowHeight="12090" tabRatio="497"/>
  </bookViews>
  <sheets>
    <sheet name="ProductionSchedule" sheetId="71" r:id="rId1"/>
  </sheets>
  <definedNames>
    <definedName name="_xlnm._FilterDatabase" localSheetId="0" hidden="1">ProductionSchedule!$A$6:$AM$7</definedName>
    <definedName name="_xlnm.Print_Area" localSheetId="0">ProductionSchedule!$A$1:$F$7</definedName>
    <definedName name="_xlnm.Print_Titles" localSheetId="0">ProductionSchedule!$6:$6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71"/>
  <c r="Q5"/>
  <c r="P5"/>
  <c r="O5"/>
  <c r="N5"/>
  <c r="M5"/>
  <c r="L5"/>
  <c r="K5"/>
  <c r="I5"/>
  <c r="R3"/>
  <c r="Q3"/>
  <c r="P3"/>
  <c r="O3"/>
  <c r="N3"/>
  <c r="M3"/>
  <c r="L3"/>
  <c r="K3"/>
  <c r="R1"/>
  <c r="Q1"/>
  <c r="P1"/>
  <c r="O1"/>
  <c r="N1"/>
  <c r="M1"/>
  <c r="L1"/>
  <c r="K1"/>
  <c r="J1" l="1"/>
  <c r="J3"/>
  <c r="L4"/>
  <c r="J5"/>
  <c r="P4" s="1"/>
  <c r="M4" l="1"/>
  <c r="K4"/>
  <c r="O4"/>
  <c r="N4"/>
  <c r="R4"/>
  <c r="Q4"/>
</calcChain>
</file>

<file path=xl/comments1.xml><?xml version="1.0" encoding="utf-8"?>
<comments xmlns="http://schemas.openxmlformats.org/spreadsheetml/2006/main">
  <authors>
    <author>George O'Brien</author>
    <author>Plantation</author>
  </authors>
  <commentList>
    <comment ref="K6" authorId="0">
      <text>
        <r>
          <rPr>
            <b/>
            <sz val="8"/>
            <color indexed="81"/>
            <rFont val="Tahoma"/>
            <family val="2"/>
          </rPr>
          <t>George O'Brien:</t>
        </r>
        <r>
          <rPr>
            <sz val="8"/>
            <color indexed="81"/>
            <rFont val="Tahoma"/>
            <family val="2"/>
          </rPr>
          <t xml:space="preserve">
Divide the item width by the number of panels for the single opening
</t>
        </r>
      </text>
    </comment>
    <comment ref="W6" authorId="1">
      <text>
        <r>
          <rPr>
            <b/>
            <sz val="9"/>
            <color indexed="81"/>
            <rFont val="Tahoma"/>
            <family val="2"/>
          </rPr>
          <t>Plantation:</t>
        </r>
        <r>
          <rPr>
            <sz val="9"/>
            <color indexed="81"/>
            <rFont val="Tahoma"/>
            <family val="2"/>
          </rPr>
          <t xml:space="preserve">
BOM added to Bill of Material spreadsheet
extras - add costing to invoice 
</t>
        </r>
      </text>
    </comment>
  </commentList>
</comments>
</file>

<file path=xl/sharedStrings.xml><?xml version="1.0" encoding="utf-8"?>
<sst xmlns="http://schemas.openxmlformats.org/spreadsheetml/2006/main" count="54" uniqueCount="52">
  <si>
    <t>VIC</t>
  </si>
  <si>
    <t>Shipped</t>
  </si>
  <si>
    <t>STATE</t>
  </si>
  <si>
    <t>ORDER REFERENCE</t>
  </si>
  <si>
    <t>SHIPPING DETAILS</t>
  </si>
  <si>
    <t>CUSTOMER NAME</t>
  </si>
  <si>
    <t>UPDATES</t>
  </si>
  <si>
    <t>TOTAL PANELS</t>
  </si>
  <si>
    <t>HINGES</t>
  </si>
  <si>
    <t>SLIDING</t>
  </si>
  <si>
    <t>BIFOLD</t>
  </si>
  <si>
    <t>FIXED</t>
  </si>
  <si>
    <t>DÉCOR</t>
  </si>
  <si>
    <t>L\FRAME</t>
  </si>
  <si>
    <t>Z\FRAME</t>
  </si>
  <si>
    <t>ShutterPRO</t>
  </si>
  <si>
    <t>OW</t>
  </si>
  <si>
    <t>BW</t>
  </si>
  <si>
    <t>.</t>
  </si>
  <si>
    <t>GRA/REMAKES</t>
  </si>
  <si>
    <t>BOM</t>
  </si>
  <si>
    <t>BOM/COSTED</t>
  </si>
  <si>
    <t>SHUTTERPRO</t>
  </si>
  <si>
    <t>FOLLOW UP</t>
  </si>
  <si>
    <t>DESPATCH/PICK UP</t>
  </si>
  <si>
    <t>PRICING/DÉCOR</t>
  </si>
  <si>
    <t>HOLD/GRA/REMAKES</t>
  </si>
  <si>
    <t>PRICE</t>
  </si>
  <si>
    <t>U650mm O650mm</t>
  </si>
  <si>
    <r>
      <rPr>
        <b/>
        <i/>
        <sz val="16"/>
        <rFont val="Calibri"/>
        <family val="2"/>
        <scheme val="minor"/>
      </rPr>
      <t>per</t>
    </r>
    <r>
      <rPr>
        <b/>
        <sz val="16"/>
        <rFont val="Calibri"/>
        <family val="2"/>
        <scheme val="minor"/>
      </rPr>
      <t xml:space="preserve"> PANEL</t>
    </r>
  </si>
  <si>
    <t>Invoiced</t>
  </si>
  <si>
    <t>&lt;700mm</t>
  </si>
  <si>
    <t>&gt;700mm</t>
  </si>
  <si>
    <t>Invoice Month</t>
  </si>
  <si>
    <t>Total SqM</t>
  </si>
  <si>
    <t>199 - Less then 700</t>
  </si>
  <si>
    <t>219 - More then 700 mm</t>
  </si>
  <si>
    <t xml:space="preserve">PLANNED </t>
  </si>
  <si>
    <t>SUB</t>
  </si>
  <si>
    <t>Count</t>
  </si>
  <si>
    <t>PLANNED ONLY</t>
  </si>
  <si>
    <t>PLANNED SHIPPING DATE</t>
  </si>
  <si>
    <t>ORDER DATE</t>
  </si>
  <si>
    <t>Wk1</t>
  </si>
  <si>
    <t>Wk2</t>
  </si>
  <si>
    <t>Wk3</t>
  </si>
  <si>
    <t>Wk4</t>
  </si>
  <si>
    <t>Wk5</t>
  </si>
  <si>
    <t>SAM</t>
  </si>
  <si>
    <t>PIL488020</t>
  </si>
  <si>
    <t>GARCIA</t>
  </si>
  <si>
    <t>Order Received 6/12/16. Décor could not fix so we are. Only panels no frames. Placed into production 6/12/16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</si>
</sst>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2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72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7030A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72"/>
      <color rgb="FF7030A0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CC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2" fillId="0" borderId="0" xfId="0" applyFont="1" applyFill="1" applyBorder="1" applyAlignment="1">
      <alignment horizontal="left"/>
    </xf>
    <xf numFmtId="1" fontId="2" fillId="0" borderId="1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0" fontId="4" fillId="0" borderId="3" xfId="0" applyFont="1" applyFill="1" applyBorder="1" applyAlignment="1">
      <alignment horizontal="left" vertical="center" wrapText="1"/>
    </xf>
    <xf numFmtId="0" fontId="3" fillId="0" borderId="0" xfId="0" applyFont="1" applyFill="1" applyAlignment="1">
      <alignment horizontal="left"/>
    </xf>
    <xf numFmtId="0" fontId="4" fillId="2" borderId="1" xfId="0" applyFont="1" applyFill="1" applyBorder="1" applyAlignment="1">
      <alignment horizontal="left" vertical="center" wrapText="1"/>
    </xf>
    <xf numFmtId="14" fontId="6" fillId="2" borderId="7" xfId="0" applyNumberFormat="1" applyFont="1" applyFill="1" applyBorder="1" applyAlignment="1">
      <alignment horizontal="left" vertical="center" wrapText="1"/>
    </xf>
    <xf numFmtId="0" fontId="6" fillId="2" borderId="14" xfId="0" applyFont="1" applyFill="1" applyBorder="1" applyAlignment="1">
      <alignment horizontal="left" vertical="center" wrapText="1"/>
    </xf>
    <xf numFmtId="0" fontId="6" fillId="2" borderId="6" xfId="0" applyFont="1" applyFill="1" applyBorder="1" applyAlignment="1">
      <alignment horizontal="left" vertical="center" wrapText="1"/>
    </xf>
    <xf numFmtId="0" fontId="15" fillId="2" borderId="8" xfId="0" applyFont="1" applyFill="1" applyBorder="1" applyAlignment="1">
      <alignment horizontal="left" vertical="center" wrapText="1"/>
    </xf>
    <xf numFmtId="0" fontId="5" fillId="2" borderId="8" xfId="0" applyFont="1" applyFill="1" applyBorder="1" applyAlignment="1">
      <alignment horizontal="left" vertical="center" wrapText="1"/>
    </xf>
    <xf numFmtId="1" fontId="5" fillId="2" borderId="8" xfId="0" applyNumberFormat="1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2" fillId="2" borderId="0" xfId="0" applyFont="1" applyFill="1"/>
    <xf numFmtId="0" fontId="6" fillId="2" borderId="17" xfId="0" applyFont="1" applyFill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16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left"/>
    </xf>
    <xf numFmtId="0" fontId="3" fillId="8" borderId="0" xfId="0" applyFont="1" applyFill="1" applyAlignment="1">
      <alignment horizontal="left"/>
    </xf>
    <xf numFmtId="14" fontId="2" fillId="9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14" fontId="2" fillId="7" borderId="8" xfId="0" applyNumberFormat="1" applyFont="1" applyFill="1" applyBorder="1" applyAlignment="1">
      <alignment horizontal="left" vertical="center"/>
    </xf>
    <xf numFmtId="14" fontId="2" fillId="5" borderId="2" xfId="0" applyNumberFormat="1" applyFont="1" applyFill="1" applyBorder="1" applyAlignment="1">
      <alignment horizontal="left" vertical="center"/>
    </xf>
    <xf numFmtId="14" fontId="2" fillId="6" borderId="2" xfId="0" applyNumberFormat="1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/>
    </xf>
    <xf numFmtId="14" fontId="2" fillId="8" borderId="2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4" borderId="15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4" fontId="2" fillId="0" borderId="0" xfId="0" applyNumberFormat="1" applyFont="1" applyFill="1" applyAlignment="1">
      <alignment horizontal="left" vertical="center"/>
    </xf>
    <xf numFmtId="0" fontId="4" fillId="0" borderId="0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center" wrapText="1"/>
    </xf>
    <xf numFmtId="14" fontId="4" fillId="0" borderId="1" xfId="0" applyNumberFormat="1" applyFont="1" applyBorder="1" applyAlignment="1">
      <alignment horizontal="left"/>
    </xf>
    <xf numFmtId="14" fontId="4" fillId="2" borderId="1" xfId="0" applyNumberFormat="1" applyFont="1" applyFill="1" applyBorder="1" applyAlignment="1">
      <alignment horizontal="left" vertical="center" wrapText="1"/>
    </xf>
    <xf numFmtId="17" fontId="4" fillId="2" borderId="1" xfId="0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left" vertical="center"/>
    </xf>
    <xf numFmtId="0" fontId="18" fillId="8" borderId="0" xfId="0" applyFont="1" applyFill="1" applyBorder="1" applyAlignment="1">
      <alignment horizontal="left" vertical="center" wrapText="1"/>
    </xf>
    <xf numFmtId="0" fontId="18" fillId="4" borderId="9" xfId="0" applyFont="1" applyFill="1" applyBorder="1" applyAlignment="1">
      <alignment horizontal="left" vertical="center" wrapText="1"/>
    </xf>
    <xf numFmtId="0" fontId="18" fillId="4" borderId="12" xfId="0" applyFont="1" applyFill="1" applyBorder="1" applyAlignment="1">
      <alignment horizontal="left" vertical="center" wrapText="1"/>
    </xf>
    <xf numFmtId="164" fontId="18" fillId="8" borderId="0" xfId="0" applyNumberFormat="1" applyFont="1" applyFill="1" applyBorder="1" applyAlignment="1">
      <alignment horizontal="left" vertical="center"/>
    </xf>
    <xf numFmtId="164" fontId="18" fillId="4" borderId="12" xfId="0" applyNumberFormat="1" applyFont="1" applyFill="1" applyBorder="1" applyAlignment="1">
      <alignment horizontal="left" vertical="center"/>
    </xf>
    <xf numFmtId="9" fontId="1" fillId="4" borderId="0" xfId="1" applyFont="1" applyFill="1" applyBorder="1" applyAlignment="1">
      <alignment horizontal="left" vertical="center"/>
    </xf>
    <xf numFmtId="9" fontId="1" fillId="4" borderId="13" xfId="1" applyFont="1" applyFill="1" applyBorder="1" applyAlignment="1">
      <alignment horizontal="left" vertical="center"/>
    </xf>
    <xf numFmtId="0" fontId="18" fillId="8" borderId="0" xfId="0" applyFont="1" applyFill="1" applyBorder="1" applyAlignment="1">
      <alignment horizontal="left" vertical="center"/>
    </xf>
    <xf numFmtId="0" fontId="18" fillId="8" borderId="2" xfId="0" applyFont="1" applyFill="1" applyBorder="1" applyAlignment="1">
      <alignment horizontal="left" vertical="center" wrapText="1"/>
    </xf>
    <xf numFmtId="0" fontId="18" fillId="2" borderId="5" xfId="0" applyFont="1" applyFill="1" applyBorder="1" applyAlignment="1">
      <alignment horizontal="left" vertical="center" wrapText="1"/>
    </xf>
    <xf numFmtId="17" fontId="2" fillId="0" borderId="4" xfId="0" applyNumberFormat="1" applyFont="1" applyFill="1" applyBorder="1" applyAlignment="1">
      <alignment horizontal="left" vertical="center"/>
    </xf>
    <xf numFmtId="14" fontId="20" fillId="2" borderId="0" xfId="0" applyNumberFormat="1" applyFont="1" applyFill="1" applyBorder="1" applyAlignment="1">
      <alignment horizontal="left" vertical="center"/>
    </xf>
    <xf numFmtId="0" fontId="17" fillId="3" borderId="10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1" fillId="3" borderId="11" xfId="0" applyFont="1" applyFill="1" applyBorder="1" applyAlignment="1">
      <alignment horizontal="center" vertical="center" wrapText="1"/>
    </xf>
    <xf numFmtId="0" fontId="17" fillId="3" borderId="0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  <xf numFmtId="0" fontId="17" fillId="3" borderId="15" xfId="0" applyFont="1" applyFill="1" applyBorder="1" applyAlignment="1">
      <alignment horizontal="center" vertical="center" wrapText="1"/>
    </xf>
    <xf numFmtId="0" fontId="11" fillId="3" borderId="15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1" fillId="3" borderId="1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6600"/>
      <color rgb="FFFFFF66"/>
      <color rgb="FF3333FF"/>
      <color rgb="FF66FFFF"/>
      <color rgb="FF00FF99"/>
      <color rgb="FFFF3399"/>
      <color rgb="FF00FF00"/>
      <color rgb="FF33CCCC"/>
      <color rgb="FF6699FF"/>
      <color rgb="FFF8A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1">
    <pageSetUpPr fitToPage="1"/>
  </sheetPr>
  <dimension ref="A1:AM976738"/>
  <sheetViews>
    <sheetView tabSelected="1" zoomScale="85" zoomScaleNormal="85" workbookViewId="0">
      <pane xSplit="5" ySplit="6" topLeftCell="F7" activePane="bottomRight" state="frozen"/>
      <selection pane="topRight" activeCell="F1" sqref="F1"/>
      <selection pane="bottomLeft" activeCell="A7" sqref="A7"/>
      <selection pane="bottomRight"/>
    </sheetView>
  </sheetViews>
  <sheetFormatPr defaultColWidth="9.140625" defaultRowHeight="18.75"/>
  <cols>
    <col min="1" max="1" width="17.140625" style="47" bestFit="1" customWidth="1"/>
    <col min="2" max="2" width="18.85546875" style="34" customWidth="1"/>
    <col min="3" max="3" width="22" style="34" customWidth="1"/>
    <col min="4" max="4" width="15.140625" style="34" customWidth="1"/>
    <col min="5" max="5" width="16.28515625" style="34" customWidth="1"/>
    <col min="6" max="7" width="16.42578125" style="34" customWidth="1"/>
    <col min="8" max="8" width="18.28515625" style="31" customWidth="1"/>
    <col min="9" max="9" width="14.28515625" style="14" customWidth="1"/>
    <col min="10" max="10" width="13.28515625" style="43" customWidth="1"/>
    <col min="11" max="11" width="14.5703125" style="12" customWidth="1"/>
    <col min="12" max="12" width="15" style="12" customWidth="1"/>
    <col min="13" max="13" width="14.5703125" style="12" customWidth="1"/>
    <col min="14" max="14" width="13.85546875" style="12" customWidth="1"/>
    <col min="15" max="15" width="13" style="12" customWidth="1"/>
    <col min="16" max="16" width="12.28515625" style="12" customWidth="1"/>
    <col min="17" max="17" width="16.140625" style="12" customWidth="1"/>
    <col min="18" max="18" width="16" style="12" customWidth="1"/>
    <col min="19" max="19" width="7.140625" style="4" customWidth="1"/>
    <col min="20" max="20" width="7" style="4" customWidth="1"/>
    <col min="21" max="21" width="20.85546875" style="4" customWidth="1"/>
    <col min="22" max="22" width="217.140625" style="9" customWidth="1"/>
    <col min="23" max="23" width="24.28515625" style="9" customWidth="1"/>
    <col min="24" max="24" width="18.5703125" style="6" customWidth="1"/>
    <col min="25" max="25" width="49" style="4" customWidth="1"/>
    <col min="26" max="26" width="9.140625" style="1" customWidth="1"/>
    <col min="27" max="27" width="26.5703125" style="34" bestFit="1" customWidth="1"/>
    <col min="28" max="32" width="9.140625" style="1" customWidth="1"/>
    <col min="33" max="33" width="15.5703125" style="1" customWidth="1"/>
    <col min="34" max="38" width="9.140625" style="1" customWidth="1"/>
    <col min="39" max="39" width="15.85546875" style="1" customWidth="1"/>
    <col min="40" max="16384" width="9.140625" style="44"/>
  </cols>
  <sheetData>
    <row r="1" spans="1:39" ht="19.5" customHeight="1" thickTop="1" thickBot="1">
      <c r="A1" s="32" t="s">
        <v>18</v>
      </c>
      <c r="B1" s="33" t="s">
        <v>25</v>
      </c>
      <c r="H1" s="54" t="s">
        <v>27</v>
      </c>
      <c r="I1" s="55" t="s">
        <v>38</v>
      </c>
      <c r="J1" s="29">
        <f>SUBTOTAL(9,J7:J7)</f>
        <v>26</v>
      </c>
      <c r="K1" s="29">
        <f>SUBTOTAL(9,K7:K7)</f>
        <v>12</v>
      </c>
      <c r="L1" s="29">
        <f>SUBTOTAL(9,L7:L7)</f>
        <v>14</v>
      </c>
      <c r="M1" s="29">
        <f>SUBTOTAL(9,M7:M7)</f>
        <v>26</v>
      </c>
      <c r="N1" s="29">
        <f>SUBTOTAL(9,N7:N7)</f>
        <v>0</v>
      </c>
      <c r="O1" s="29">
        <f>SUBTOTAL(9,O7:O7)</f>
        <v>0</v>
      </c>
      <c r="P1" s="29">
        <f>SUBTOTAL(9,P7:P7)</f>
        <v>0</v>
      </c>
      <c r="Q1" s="29">
        <f>SUBTOTAL(9,Q7:Q7)</f>
        <v>22</v>
      </c>
      <c r="R1" s="29">
        <f>SUBTOTAL(9,R7:R7)</f>
        <v>4</v>
      </c>
      <c r="S1" s="66" t="s">
        <v>48</v>
      </c>
      <c r="T1" s="66"/>
      <c r="U1" s="67"/>
      <c r="V1" s="67"/>
      <c r="W1" s="68"/>
      <c r="X1" s="67"/>
      <c r="Y1" s="69"/>
      <c r="Z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</row>
    <row r="2" spans="1:39" ht="19.5" customHeight="1" thickTop="1" thickBot="1">
      <c r="A2" s="35"/>
      <c r="B2" s="33" t="s">
        <v>24</v>
      </c>
      <c r="E2" s="34" t="s">
        <v>1</v>
      </c>
      <c r="H2" s="54" t="s">
        <v>29</v>
      </c>
      <c r="I2" s="56"/>
      <c r="J2" s="28"/>
      <c r="K2" s="28"/>
      <c r="L2" s="28"/>
      <c r="M2" s="28"/>
      <c r="N2" s="28"/>
      <c r="O2" s="28"/>
      <c r="P2" s="28"/>
      <c r="Q2" s="28"/>
      <c r="R2" s="28"/>
      <c r="S2" s="70"/>
      <c r="T2" s="70"/>
      <c r="U2" s="71"/>
      <c r="V2" s="71"/>
      <c r="W2" s="72"/>
      <c r="X2" s="71"/>
      <c r="Y2" s="73"/>
      <c r="Z2" s="34"/>
      <c r="AB2" s="34"/>
      <c r="AC2" s="34"/>
      <c r="AD2" s="34"/>
      <c r="AE2" s="34"/>
      <c r="AF2" s="34"/>
      <c r="AG2" s="34"/>
      <c r="AH2" s="34" t="s">
        <v>43</v>
      </c>
      <c r="AI2" s="34"/>
      <c r="AJ2" s="34"/>
      <c r="AK2" s="34"/>
      <c r="AL2" s="34"/>
      <c r="AM2" s="34"/>
    </row>
    <row r="3" spans="1:39" ht="19.5" customHeight="1" thickTop="1" thickBot="1">
      <c r="A3" s="36"/>
      <c r="B3" s="33" t="s">
        <v>23</v>
      </c>
      <c r="H3" s="57" t="s">
        <v>35</v>
      </c>
      <c r="I3" s="58" t="s">
        <v>39</v>
      </c>
      <c r="J3" s="40">
        <f>SUBTOTAL(2, J7:J7)</f>
        <v>1</v>
      </c>
      <c r="K3" s="40">
        <f>COUNT(K7:K7)</f>
        <v>1</v>
      </c>
      <c r="L3" s="40">
        <f>COUNT(L7:L7)</f>
        <v>1</v>
      </c>
      <c r="M3" s="40">
        <f>COUNT(M7:M7)</f>
        <v>1</v>
      </c>
      <c r="N3" s="40">
        <f>COUNT(N7:N7)</f>
        <v>0</v>
      </c>
      <c r="O3" s="40">
        <f>COUNT(O7:O7)</f>
        <v>0</v>
      </c>
      <c r="P3" s="40">
        <f>COUNT(P7:P7)</f>
        <v>0</v>
      </c>
      <c r="Q3" s="40">
        <f>COUNT(Q7:Q7)</f>
        <v>1</v>
      </c>
      <c r="R3" s="40">
        <f>COUNT(R7:R7)</f>
        <v>1</v>
      </c>
      <c r="S3" s="70"/>
      <c r="T3" s="70"/>
      <c r="U3" s="71"/>
      <c r="V3" s="71"/>
      <c r="W3" s="72"/>
      <c r="X3" s="71"/>
      <c r="Y3" s="73"/>
      <c r="Z3" s="34"/>
      <c r="AB3" s="34"/>
      <c r="AC3" s="34"/>
      <c r="AD3" s="34"/>
      <c r="AE3" s="34"/>
      <c r="AF3" s="34"/>
      <c r="AG3" s="34"/>
      <c r="AH3" s="34" t="s">
        <v>44</v>
      </c>
      <c r="AI3" s="34"/>
      <c r="AJ3" s="34"/>
      <c r="AK3" s="34"/>
      <c r="AL3" s="34"/>
      <c r="AM3" s="34"/>
    </row>
    <row r="4" spans="1:39" ht="18.75" customHeight="1" thickTop="1" thickBot="1">
      <c r="A4" s="37"/>
      <c r="B4" s="38" t="s">
        <v>26</v>
      </c>
      <c r="E4" s="13"/>
      <c r="F4" s="48"/>
      <c r="G4" s="48"/>
      <c r="H4" s="57" t="s">
        <v>36</v>
      </c>
      <c r="I4" s="58"/>
      <c r="J4" s="40"/>
      <c r="K4" s="59">
        <f>+K5/J5</f>
        <v>0.46153846153846156</v>
      </c>
      <c r="L4" s="59">
        <f t="shared" ref="L4" si="0">+L5/K5</f>
        <v>1.1666666666666667</v>
      </c>
      <c r="M4" s="59">
        <f>+M5/J5</f>
        <v>1</v>
      </c>
      <c r="N4" s="59">
        <f>+N5/J5</f>
        <v>0</v>
      </c>
      <c r="O4" s="59">
        <f>+O5/J5</f>
        <v>0</v>
      </c>
      <c r="P4" s="59">
        <f>+P5/J5</f>
        <v>0</v>
      </c>
      <c r="Q4" s="59">
        <f>+Q5/J5</f>
        <v>0.84615384615384615</v>
      </c>
      <c r="R4" s="60">
        <f>+R5/J5</f>
        <v>0.15384615384615385</v>
      </c>
      <c r="S4" s="70"/>
      <c r="T4" s="70"/>
      <c r="U4" s="71"/>
      <c r="V4" s="71"/>
      <c r="W4" s="72"/>
      <c r="X4" s="71"/>
      <c r="Y4" s="73"/>
      <c r="Z4" s="34"/>
      <c r="AB4" s="34"/>
      <c r="AC4" s="34"/>
      <c r="AD4" s="34"/>
      <c r="AE4" s="34"/>
      <c r="AF4" s="34"/>
      <c r="AG4" s="34"/>
      <c r="AH4" s="34" t="s">
        <v>45</v>
      </c>
      <c r="AI4" s="34"/>
      <c r="AJ4" s="34"/>
      <c r="AK4" s="34"/>
      <c r="AL4" s="34"/>
      <c r="AM4" s="34"/>
    </row>
    <row r="5" spans="1:39" ht="22.5" customHeight="1" thickTop="1" thickBot="1">
      <c r="A5" s="39"/>
      <c r="B5" s="33" t="s">
        <v>22</v>
      </c>
      <c r="H5" s="61" t="s">
        <v>12</v>
      </c>
      <c r="I5" s="41">
        <f>SUM(I7:I7)</f>
        <v>29.82</v>
      </c>
      <c r="J5" s="41">
        <f>SUM(J7:J7)</f>
        <v>26</v>
      </c>
      <c r="K5" s="41">
        <f>SUM(K7:K7)</f>
        <v>12</v>
      </c>
      <c r="L5" s="41">
        <f>SUM(L7:L7)</f>
        <v>14</v>
      </c>
      <c r="M5" s="41">
        <f>SUM(M7:M7)</f>
        <v>26</v>
      </c>
      <c r="N5" s="41">
        <f>SUM(N7:N7)</f>
        <v>0</v>
      </c>
      <c r="O5" s="41">
        <f>SUM(O7:O7)</f>
        <v>0</v>
      </c>
      <c r="P5" s="41">
        <f>SUM(P7:P7)</f>
        <v>0</v>
      </c>
      <c r="Q5" s="41">
        <f>SUM(Q7:Q7)</f>
        <v>22</v>
      </c>
      <c r="R5" s="41">
        <f>SUM(R7:R7)</f>
        <v>4</v>
      </c>
      <c r="S5" s="74"/>
      <c r="T5" s="74"/>
      <c r="U5" s="75"/>
      <c r="V5" s="75"/>
      <c r="W5" s="76"/>
      <c r="X5" s="75"/>
      <c r="Y5" s="77"/>
      <c r="Z5" s="34"/>
      <c r="AA5" s="42" t="s">
        <v>40</v>
      </c>
      <c r="AB5" s="34"/>
      <c r="AC5" s="34"/>
      <c r="AD5" s="34"/>
      <c r="AE5" s="34"/>
      <c r="AF5" s="34"/>
      <c r="AG5" s="34"/>
      <c r="AH5" s="34" t="s">
        <v>46</v>
      </c>
      <c r="AI5" s="34"/>
      <c r="AJ5" s="34"/>
      <c r="AK5" s="34"/>
      <c r="AL5" s="34"/>
      <c r="AM5" s="34"/>
    </row>
    <row r="6" spans="1:39" s="22" customFormat="1" ht="69.75" customHeight="1" thickTop="1" thickBot="1">
      <c r="A6" s="16" t="s">
        <v>42</v>
      </c>
      <c r="B6" s="17" t="s">
        <v>3</v>
      </c>
      <c r="C6" s="18" t="s">
        <v>5</v>
      </c>
      <c r="D6" s="18" t="s">
        <v>2</v>
      </c>
      <c r="E6" s="18"/>
      <c r="F6" s="18" t="s">
        <v>33</v>
      </c>
      <c r="G6" s="18" t="s">
        <v>20</v>
      </c>
      <c r="H6" s="62" t="s">
        <v>28</v>
      </c>
      <c r="I6" s="63" t="s">
        <v>34</v>
      </c>
      <c r="J6" s="24" t="s">
        <v>7</v>
      </c>
      <c r="K6" s="25" t="s">
        <v>31</v>
      </c>
      <c r="L6" s="26" t="s">
        <v>32</v>
      </c>
      <c r="M6" s="26" t="s">
        <v>8</v>
      </c>
      <c r="N6" s="26" t="s">
        <v>9</v>
      </c>
      <c r="O6" s="26" t="s">
        <v>10</v>
      </c>
      <c r="P6" s="26" t="s">
        <v>11</v>
      </c>
      <c r="Q6" s="26" t="s">
        <v>14</v>
      </c>
      <c r="R6" s="26" t="s">
        <v>13</v>
      </c>
      <c r="S6" s="19" t="s">
        <v>16</v>
      </c>
      <c r="T6" s="19" t="s">
        <v>17</v>
      </c>
      <c r="U6" s="19" t="s">
        <v>19</v>
      </c>
      <c r="V6" s="20" t="s">
        <v>6</v>
      </c>
      <c r="W6" s="19" t="s">
        <v>21</v>
      </c>
      <c r="X6" s="21" t="s">
        <v>15</v>
      </c>
      <c r="Y6" s="20" t="s">
        <v>4</v>
      </c>
      <c r="Z6" s="49"/>
      <c r="AA6" s="18" t="s">
        <v>41</v>
      </c>
      <c r="AH6" s="34" t="s">
        <v>47</v>
      </c>
      <c r="AM6" s="27" t="s">
        <v>37</v>
      </c>
    </row>
    <row r="7" spans="1:39" s="23" customFormat="1" ht="18.75" customHeight="1">
      <c r="A7" s="51">
        <v>42132</v>
      </c>
      <c r="B7" s="45" t="s">
        <v>49</v>
      </c>
      <c r="C7" s="45" t="s">
        <v>50</v>
      </c>
      <c r="D7" s="45" t="s">
        <v>0</v>
      </c>
      <c r="E7" s="15" t="s">
        <v>30</v>
      </c>
      <c r="F7" s="64">
        <v>42736</v>
      </c>
      <c r="G7" s="53" t="s">
        <v>43</v>
      </c>
      <c r="H7" s="30"/>
      <c r="I7" s="7">
        <v>29.82</v>
      </c>
      <c r="J7" s="46">
        <v>26</v>
      </c>
      <c r="K7" s="2">
        <v>12</v>
      </c>
      <c r="L7" s="2">
        <v>14</v>
      </c>
      <c r="M7" s="2">
        <v>26</v>
      </c>
      <c r="N7" s="2"/>
      <c r="O7" s="2"/>
      <c r="P7" s="2"/>
      <c r="Q7" s="2">
        <v>22</v>
      </c>
      <c r="R7" s="2">
        <v>4</v>
      </c>
      <c r="S7" s="5"/>
      <c r="T7" s="5" t="s">
        <v>17</v>
      </c>
      <c r="U7" s="5"/>
      <c r="V7" s="8" t="s">
        <v>51</v>
      </c>
      <c r="W7" s="8"/>
      <c r="X7" s="11"/>
      <c r="Y7" s="50">
        <v>42741</v>
      </c>
      <c r="Z7" s="10"/>
      <c r="AA7" s="65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3"/>
    </row>
    <row r="976738" spans="6:22">
      <c r="F976738" s="52"/>
      <c r="V976738" s="8"/>
    </row>
  </sheetData>
  <autoFilter ref="A6:AM7">
    <filterColumn colId="0">
      <filters>
        <dateGroupItem year="2017" dateTimeGrouping="year"/>
        <dateGroupItem year="2016" dateTimeGrouping="year"/>
        <dateGroupItem year="2015" dateTimeGrouping="year"/>
      </filters>
    </filterColumn>
    <sortState ref="A7:DX1851">
      <sortCondition ref="A6:A1854"/>
    </sortState>
  </autoFilter>
  <mergeCells count="1">
    <mergeCell ref="S1:Y5"/>
  </mergeCells>
  <dataValidations count="2">
    <dataValidation type="list" allowBlank="1" showInputMessage="1" showErrorMessage="1" sqref="F976738:F1048576 E4:G4 E7:F7">
      <formula1>#REF!</formula1>
    </dataValidation>
    <dataValidation type="list" allowBlank="1" showInputMessage="1" showErrorMessage="1" sqref="G7">
      <formula1>$AH$1:$AH$6</formula1>
    </dataValidation>
  </dataValidations>
  <pageMargins left="0.25" right="0.25" top="0.75" bottom="0.75" header="0.3" footer="0.3"/>
  <pageSetup paperSize="9" scale="93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ProductionSchedule</vt:lpstr>
      <vt:lpstr>ProductionSchedule!Print_Area</vt:lpstr>
      <vt:lpstr>ProductionSchedule!Print_Titles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gobrien</dc:creator>
  <cp:lastModifiedBy>Clive Leung</cp:lastModifiedBy>
  <cp:lastPrinted>2017-02-06T00:52:55Z</cp:lastPrinted>
  <dcterms:created xsi:type="dcterms:W3CDTF">2015-07-16T10:00:13Z</dcterms:created>
  <dcterms:modified xsi:type="dcterms:W3CDTF">2017-02-21T22:45:47Z</dcterms:modified>
</cp:coreProperties>
</file>